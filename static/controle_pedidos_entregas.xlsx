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esktop\Farmácia de Todos\COMPRAS\Compras 2026\"/>
    </mc:Choice>
  </mc:AlternateContent>
  <bookViews>
    <workbookView xWindow="0" yWindow="0" windowWidth="20490" windowHeight="7650"/>
  </bookViews>
  <sheets>
    <sheet name="Planilha1" sheetId="1" r:id="rId1"/>
    <sheet name="Planilha2" sheetId="2" r:id="rId2"/>
  </sheets>
  <definedNames>
    <definedName name="_xlnm._FilterDatabase" localSheetId="0" hidden="1">Planilha1!$A$2:$M$237</definedName>
  </definedNames>
  <calcPr calcId="162913"/>
  <extLst>
    <ext uri="GoogleSheetsCustomDataVersion2">
      <go:sheetsCustomData xmlns:go="http://customooxmlschemas.google.com/" r:id="rId6" roundtripDataChecksum="gTkJ2l3mE6Q8P4ctWdd+NO23k46FYpzqHjjVZPCI8yg="/>
    </ext>
  </extLst>
</workbook>
</file>

<file path=xl/calcChain.xml><?xml version="1.0" encoding="utf-8"?>
<calcChain xmlns="http://schemas.openxmlformats.org/spreadsheetml/2006/main">
  <c r="H239" i="1" l="1"/>
  <c r="H238" i="1"/>
  <c r="H237" i="1" l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0" i="1"/>
  <c r="H189" i="1"/>
  <c r="O117" i="1"/>
  <c r="O102" i="1"/>
  <c r="Q56" i="1"/>
  <c r="O56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O29" i="1"/>
</calcChain>
</file>

<file path=xl/sharedStrings.xml><?xml version="1.0" encoding="utf-8"?>
<sst xmlns="http://schemas.openxmlformats.org/spreadsheetml/2006/main" count="801" uniqueCount="391">
  <si>
    <t>Controle de compras Medicamento 2026</t>
  </si>
  <si>
    <t>Data pedido de empenho</t>
  </si>
  <si>
    <t>ATA</t>
  </si>
  <si>
    <t>Empresa</t>
  </si>
  <si>
    <t>Medicamento</t>
  </si>
  <si>
    <t>Telefone</t>
  </si>
  <si>
    <t>Quantidade</t>
  </si>
  <si>
    <t>Valor Unit</t>
  </si>
  <si>
    <t>Valor Total</t>
  </si>
  <si>
    <t>Data Pedido</t>
  </si>
  <si>
    <t>Empenho</t>
  </si>
  <si>
    <t>Data Entrega</t>
  </si>
  <si>
    <t>NF</t>
  </si>
  <si>
    <t>SIGAF 1</t>
  </si>
  <si>
    <t>Cisamapi</t>
  </si>
  <si>
    <t>Promefarma</t>
  </si>
  <si>
    <t>ANLODIPINO BESILATO 5 MG COMPRIMIDO</t>
  </si>
  <si>
    <t>41 3165-7943</t>
  </si>
  <si>
    <t>RISPERIDONA  1 MG COMPRIMIDO REVESTIDO</t>
  </si>
  <si>
    <t>cobrado por email dia 05/03/2026</t>
  </si>
  <si>
    <t>SULFAMETOXAZOL + TRIMETROPRIMA  400+80 MG COMPRIMIDO</t>
  </si>
  <si>
    <t>Soma/MG</t>
  </si>
  <si>
    <t>35 3435-7750</t>
  </si>
  <si>
    <t>ÁCIDO ASCÓRBICO (VITAMINA C)  100 MG/ML SOLUÇÃO INJETÁVEL</t>
  </si>
  <si>
    <t>SIGAF 3</t>
  </si>
  <si>
    <t>CARVEDILOL  12,5 MG COMPRIMIDO</t>
  </si>
  <si>
    <t>BROMOPRIDA  5 MG/ML SOLUÇÃO INJETÁVEL</t>
  </si>
  <si>
    <t>mandei email dia 29/04</t>
  </si>
  <si>
    <t>Cisamapi maio</t>
  </si>
  <si>
    <t>CLORETO DE POTASSIO  191 MG/ML (19,1%)  SOLUÇÃO INJETÁVEL</t>
  </si>
  <si>
    <t>cobrado por email dia 14/07/2026</t>
  </si>
  <si>
    <t>DICLOFENACO SODICO 25 MG/ML SOLUÇÃO INJETÁVEL</t>
  </si>
  <si>
    <t>Pref maio</t>
  </si>
  <si>
    <t>NITROPRUSSETO DE SODIO 25 MG/ML SOLUÇÃO INJETÁVEL</t>
  </si>
  <si>
    <t>AMIODARONA  200 MG COMPRIMIDO</t>
  </si>
  <si>
    <t>LIDOCAINA + EPINEFRINA 2% + 1 200 000 INJETAVEL</t>
  </si>
  <si>
    <t>ONDANSETRONA CLORIDRATO 2 MG/ML SOLUÇÃO INJETÁVEL</t>
  </si>
  <si>
    <t>MICONAZOL NITRATO 20 MG/G CREME</t>
  </si>
  <si>
    <t>Kadfar</t>
  </si>
  <si>
    <t>(19) 3101-3950</t>
  </si>
  <si>
    <t>CIANOCOBALAMINA + PIRIDOXINA + TIAMINA 100+100+5 MG/ML INJETAVEL</t>
  </si>
  <si>
    <t>AMIODARONA  50 MG/ML SOLUÇÃO INJETÁVEL (VIA ENDOVENOSA)</t>
  </si>
  <si>
    <t>União Química</t>
  </si>
  <si>
    <t>(11) 5586-2023</t>
  </si>
  <si>
    <t>ENOXAPARINA SODICA 40 MG/0,4 ML (100 MG/ML),  SOLUÇÃO INJETÁVEL</t>
  </si>
  <si>
    <t>Sigaf 5 Med I</t>
  </si>
  <si>
    <t>OMEPRAZOL  20 MG CAPSULA</t>
  </si>
  <si>
    <t>AMOXICILINA 50 MG/ML PO PARA SUSPENSAO ORAL</t>
  </si>
  <si>
    <t>TENOXICAM  20 MG PÓ LIOFÍLICO PARA INJETÁVEL</t>
  </si>
  <si>
    <t>Sigaf 5 Med IV</t>
  </si>
  <si>
    <t>ACIDO FOLICO (VITAMINA B9) 5 MG COMPRIMIDO</t>
  </si>
  <si>
    <t>cobrado por email dia 02/07/2026</t>
  </si>
  <si>
    <t>Dimaster</t>
  </si>
  <si>
    <t>ALBENDAZOL 400 MG COMPRIMIDO MASTIGAVEL</t>
  </si>
  <si>
    <t>54 93523 2600</t>
  </si>
  <si>
    <t>RISPERIDONA  3 MG COMPRIMIDO REVESTIDO</t>
  </si>
  <si>
    <t>LIDOCAINA CLORIDRATO 20 MG/ML SOLUÇÃO INJETÁVEL (VIA ENDOVENOSA)</t>
  </si>
  <si>
    <t>Conquista</t>
  </si>
  <si>
    <t>47 93366-7867</t>
  </si>
  <si>
    <t>BUTILBROMETO DE ESCOPOLAMINA + DIPIRONA SÓDICA  4+500 MG/ML SOLUÇÃO INJETÁVEL</t>
  </si>
  <si>
    <t>Cisamapi julho</t>
  </si>
  <si>
    <t>CINARIZINA 25 MG</t>
  </si>
  <si>
    <t>Nova medicamento</t>
  </si>
  <si>
    <t>46 92604-0154</t>
  </si>
  <si>
    <t>CETOPROFENO  100 MG COMPRIMIDO REVESTIDO</t>
  </si>
  <si>
    <t>TOPIRAMATO 50 MG</t>
  </si>
  <si>
    <t>Pref julho</t>
  </si>
  <si>
    <t>PARACETAMOL 500 MG</t>
  </si>
  <si>
    <t>BUTILBROMETO DE ESCOPOLAMINA + DIPIRONA SÓDICA  10+250 MG COMPRIMIDO REVESTIDO</t>
  </si>
  <si>
    <t>Rioclarense</t>
  </si>
  <si>
    <t>38 99942-1862</t>
  </si>
  <si>
    <t>CETOPROFENO  50 MG/ML SOLUÇÃO INJETÁVEL</t>
  </si>
  <si>
    <t>SULFATO FERROSO 125 MG/ML ORAL</t>
  </si>
  <si>
    <t>Distrimix</t>
  </si>
  <si>
    <t>Sigaf 7 med I</t>
  </si>
  <si>
    <t>33 933226850</t>
  </si>
  <si>
    <t>DOMPERIDONA  10 MG  COMPRIMIDO</t>
  </si>
  <si>
    <t>HIDRALAZINA CLORIDRATO 50 MG</t>
  </si>
  <si>
    <r>
      <rPr>
        <sz val="11"/>
        <color rgb="FFFF0000"/>
        <rFont val="Calibri"/>
        <family val="2"/>
      </rPr>
      <t>parcial</t>
    </r>
    <r>
      <rPr>
        <sz val="11"/>
        <color theme="1"/>
        <rFont val="Calibri"/>
        <family val="2"/>
      </rPr>
      <t xml:space="preserve"> 03/02/2026</t>
    </r>
  </si>
  <si>
    <t>BIPERIDENO CLORIDRATO 2 MG</t>
  </si>
  <si>
    <r>
      <rPr>
        <sz val="11"/>
        <color rgb="FFFF0000"/>
        <rFont val="Calibri"/>
        <family val="2"/>
      </rPr>
      <t>restante</t>
    </r>
    <r>
      <rPr>
        <sz val="11"/>
        <color theme="1"/>
        <rFont val="Calibri"/>
        <family val="2"/>
      </rPr>
      <t xml:space="preserve"> 24/02/2026</t>
    </r>
  </si>
  <si>
    <t>Centermedi</t>
  </si>
  <si>
    <t>54 93523-2700</t>
  </si>
  <si>
    <t>CITALOPRAM  20 MG COMPRIMIDO REVESTIDO</t>
  </si>
  <si>
    <t>AMOXICILINA + CLAVULANATO DE POTASSIO 500+125 MG COMPRIMIDO</t>
  </si>
  <si>
    <t>Cristália</t>
  </si>
  <si>
    <t>19 93863-9529</t>
  </si>
  <si>
    <t>BETAMETASONA DIPROPRIONATO + FOSFATO DISSÓDICO DE BETAMETASONA  5+2 MG/ML SUSPENSAO INJETAVEL</t>
  </si>
  <si>
    <t>CARVEDILOL 3,125 MG</t>
  </si>
  <si>
    <t>ETOMIDATO  2 MG/ML SOLUÇÃO INJETÁVEL</t>
  </si>
  <si>
    <t>CLOMIPRAMINA CLORIDRATO 25 MG</t>
  </si>
  <si>
    <t>METOPROLOL TARTARATO 1 MG/ML SOLUÇÃO INJETÁVEL</t>
  </si>
  <si>
    <t>AZITROMICINA 40 MG/ML (600 MG) PO PARA SUSPENSAO ORAL</t>
  </si>
  <si>
    <t>NITROGLICERINA  5 MG/ML SOLUÇÃO INJETÁVEL</t>
  </si>
  <si>
    <t>AZITROMICINA 500 MG</t>
  </si>
  <si>
    <t>Alfalagos</t>
  </si>
  <si>
    <t>35 937010450</t>
  </si>
  <si>
    <t>AMOXICILINA 500 MG</t>
  </si>
  <si>
    <t>METILDOPA  500 MG COMPRIMIDO</t>
  </si>
  <si>
    <r>
      <rPr>
        <sz val="11"/>
        <color rgb="FFFF0000"/>
        <rFont val="Calibri"/>
        <family val="2"/>
      </rPr>
      <t xml:space="preserve">parcial </t>
    </r>
    <r>
      <rPr>
        <sz val="11"/>
        <color theme="1"/>
        <rFont val="Calibri"/>
        <family val="2"/>
      </rPr>
      <t>15/04/2026</t>
    </r>
  </si>
  <si>
    <t>Sigaf 7 med IV</t>
  </si>
  <si>
    <t>DEXAMETASONA 1 MG/G (0,1%) CREME</t>
  </si>
  <si>
    <t>IBUPROFENO 600 MG</t>
  </si>
  <si>
    <r>
      <rPr>
        <sz val="11"/>
        <color rgb="FFFF0000"/>
        <rFont val="Calibri"/>
        <family val="2"/>
      </rPr>
      <t xml:space="preserve">restante </t>
    </r>
    <r>
      <rPr>
        <sz val="11"/>
        <color rgb="FFFF0000"/>
        <rFont val="Calibri"/>
        <family val="2"/>
      </rPr>
      <t>17/06/2026</t>
    </r>
  </si>
  <si>
    <t>Sigaf 8 med I</t>
  </si>
  <si>
    <t>LEVOTIROXINA SODICA 100 MCG COMPRIMIDO</t>
  </si>
  <si>
    <t>LEVOTIROXINA SODICA 50 MCG COMPRIMIDO</t>
  </si>
  <si>
    <t>NIFEDIPINO  20 MG COMPRIMIDO</t>
  </si>
  <si>
    <t>LEVOTIROXINA SODICA 25 MCG COMPRIMIDO</t>
  </si>
  <si>
    <t>Inovamed</t>
  </si>
  <si>
    <t>54 92106-7930</t>
  </si>
  <si>
    <t>ADENOSINA  3 MG/ML SOLUÇÃO INJETÁVEL</t>
  </si>
  <si>
    <t>HIDRALAZINA CLORIDRATO 25 MG COMPRIMIDO</t>
  </si>
  <si>
    <r>
      <rPr>
        <sz val="11"/>
        <color rgb="FFFF0000"/>
        <rFont val="Calibri"/>
        <family val="2"/>
      </rPr>
      <t xml:space="preserve">restante </t>
    </r>
    <r>
      <rPr>
        <sz val="11"/>
        <color theme="1"/>
        <rFont val="Calibri"/>
        <family val="2"/>
      </rPr>
      <t>27/02/2026</t>
    </r>
  </si>
  <si>
    <t>PANTOPRAZOL  40 MG COMPRIMIDO REVESTIDO</t>
  </si>
  <si>
    <t>VALPROATO DE SÓDIO (ÁCIDO VALPROICO) 500 MG COMPRIMIDO</t>
  </si>
  <si>
    <r>
      <rPr>
        <sz val="11"/>
        <color rgb="FFFF0000"/>
        <rFont val="Calibri"/>
        <family val="2"/>
      </rPr>
      <t>restante</t>
    </r>
    <r>
      <rPr>
        <sz val="11"/>
        <color theme="1"/>
        <rFont val="Calibri"/>
        <family val="2"/>
      </rPr>
      <t xml:space="preserve"> 27/02/2026</t>
    </r>
  </si>
  <si>
    <t>CLORPROMAZINA CLORIDRATO 40 MG/ML SOLUCAO ORAL</t>
  </si>
  <si>
    <t>ESCITALOPRAM OXALATO 10 MG COMPRIMIDO REVESTIDO</t>
  </si>
  <si>
    <t>VALPROATO DE SÓDIO (ÁCIDO VALPROICO) 50 MG/ML XAROPE</t>
  </si>
  <si>
    <r>
      <rPr>
        <sz val="11"/>
        <color rgb="FFFF0000"/>
        <rFont val="Calibri"/>
        <family val="2"/>
      </rPr>
      <t xml:space="preserve">parcial </t>
    </r>
    <r>
      <rPr>
        <sz val="11"/>
        <color theme="1"/>
        <rFont val="Calibri"/>
        <family val="2"/>
      </rPr>
      <t>20/02/2026</t>
    </r>
  </si>
  <si>
    <t>Total do pedido</t>
  </si>
  <si>
    <t>AMITRIPTILINA CLORIDRATO 25 MG COMPRIMIDO</t>
  </si>
  <si>
    <t>ATENOLOL 50 MG COMPRIMIDO</t>
  </si>
  <si>
    <t>SINVASTATINA 40 MG COMPRIMIDO REVESTIDO</t>
  </si>
  <si>
    <t>CARBAMAZEPINA 200 MG COMPRIMIDO</t>
  </si>
  <si>
    <t>FENITOINA SODICA 100 MG COMPRIMIDO</t>
  </si>
  <si>
    <t>Acácia</t>
  </si>
  <si>
    <t>BUDESONIDA  32 MCG SUSPENSAO NASAL</t>
  </si>
  <si>
    <t>CARBAMAZEPINA 20 MG/ML SUSPENSAO ORAL</t>
  </si>
  <si>
    <t>Sigaf med IV</t>
  </si>
  <si>
    <t>RINGER + LACTATO DE SODIO SOLUÇÃO INJETÁVEL</t>
  </si>
  <si>
    <t>LORATADINA 10 MG COMPRIMIDO</t>
  </si>
  <si>
    <t>CEFALEXINA  500 MG COMPRIMIDO</t>
  </si>
  <si>
    <t>BETAMETASONA ACETATO + FOSFATO DISSÓDICO DE BETAMETASONA 3+3 MG/ML SUSPENSÃO INJETÁVEL (VIA INTRAMUSCULAR)</t>
  </si>
  <si>
    <r>
      <rPr>
        <sz val="11"/>
        <color rgb="FFFF0000"/>
        <rFont val="Calibri"/>
        <family val="2"/>
      </rPr>
      <t xml:space="preserve">parcial </t>
    </r>
    <r>
      <rPr>
        <sz val="11"/>
        <color theme="1"/>
        <rFont val="Calibri"/>
        <family val="2"/>
      </rPr>
      <t>27/02/2026</t>
    </r>
  </si>
  <si>
    <t>ISOSSORBIDA DINITRATO 5 MG COMPRIMIDO SUBLINGUAL</t>
  </si>
  <si>
    <t>SULFADIAZINA 10 MG/G CREME</t>
  </si>
  <si>
    <t>PREDNISOLONA FOSFATO SODICO 1 MG/ML SOLUCAO ORAL</t>
  </si>
  <si>
    <t>CISAMAPI agosto</t>
  </si>
  <si>
    <t>MIDAZOLAM  5 MG/ML INJETÁVEL</t>
  </si>
  <si>
    <t>PREDNISONA  5 MG COMPRIMIDO</t>
  </si>
  <si>
    <t>Prefeitura agosto</t>
  </si>
  <si>
    <t>COLAGENASE + CLORANFENICOL  0,6+0,01 U/G+G/G POMADA DERMATOLOGICA</t>
  </si>
  <si>
    <r>
      <rPr>
        <sz val="11"/>
        <color rgb="FFFF0000"/>
        <rFont val="Calibri"/>
        <family val="2"/>
      </rPr>
      <t>parcial</t>
    </r>
    <r>
      <rPr>
        <sz val="11"/>
        <color theme="1"/>
        <rFont val="Calibri"/>
        <family val="2"/>
      </rPr>
      <t xml:space="preserve"> 27/02/2026</t>
    </r>
  </si>
  <si>
    <t>BH farma</t>
  </si>
  <si>
    <t>ESCITALOPRAM 10MG COMPRIMIDO REVESTIDO</t>
  </si>
  <si>
    <t>HALOPERIDOL  5 MG COMPRIMIDO</t>
  </si>
  <si>
    <r>
      <rPr>
        <sz val="8"/>
        <color rgb="FF000000"/>
        <rFont val="Calibri"/>
        <family val="2"/>
      </rPr>
      <t xml:space="preserve">82072 - MORFINA 10MG/ML SOLUC.INJ.10MG (CRISTALIA) </t>
    </r>
  </si>
  <si>
    <t>HIDROCORTISONA SUCCINATO DE SODIO 100 MG PÓ PARA SOLUÇÃO INJETÁVEL (VIA ENDOVENOSA OU INTRAMUSCULAR)</t>
  </si>
  <si>
    <t>Biohosp</t>
  </si>
  <si>
    <t>ACIDO FOLICO (VITAMINA B9)  5 MG COMPRIMIDO</t>
  </si>
  <si>
    <t>SAIS DE REIDRATACAO ORAL (CLORETO DE SÓDIO + GLICOSE + CITRATO DE SÓDIO + CLORETO DE POTÁSSIO)  1,066+6,093+0,884+0,457 G PO PARA PREPARACAO EXTEMPORANEA</t>
  </si>
  <si>
    <t>Cimed</t>
  </si>
  <si>
    <t>SINVASTATINA  20 MG COMPRIMIDO REVESTIDO</t>
  </si>
  <si>
    <t>SINVASTATINA  40 MG COMPRIMIDO REVESTIDO</t>
  </si>
  <si>
    <t>C. Rio Clarense</t>
  </si>
  <si>
    <t>CARBAMAZEPINA  20 MG/ML SUSPENSAO ORAL</t>
  </si>
  <si>
    <t>Global hosp</t>
  </si>
  <si>
    <t>MAGNESIO  50 % SOLUÇÃO INJETÁVEL</t>
  </si>
  <si>
    <t>Hospdrogas</t>
  </si>
  <si>
    <t>Med Center</t>
  </si>
  <si>
    <t>BETAMETASONA ACETATO + FOSFATO DISSÓDICO DE BETAMETASONA  3+3 MG/ML SUSPENSÃO INJETÁVEL (VIA INTRAMUSCULAR)</t>
  </si>
  <si>
    <t>LIDOCAINA CLORIDRATO 20 MG/G GEL</t>
  </si>
  <si>
    <t>Multifarma</t>
  </si>
  <si>
    <t>BIPERIDENO CLORIDRATO 5 MG/ML SOLUÇÃO INJETÁVEL (VIA ENDOVENOSA OU INTRAMUSCULAR)</t>
  </si>
  <si>
    <t>NSA</t>
  </si>
  <si>
    <t>BUDESONIDA  50 MCG SUSPENSAO NASAL</t>
  </si>
  <si>
    <t>Prati</t>
  </si>
  <si>
    <t>METRONIDAZOL  250 MG COMPRIMIDO</t>
  </si>
  <si>
    <r>
      <rPr>
        <sz val="11"/>
        <color rgb="FFFF0000"/>
        <rFont val="Calibri"/>
        <family val="2"/>
      </rPr>
      <t xml:space="preserve">parcial </t>
    </r>
    <r>
      <rPr>
        <sz val="11"/>
        <color theme="1"/>
        <rFont val="Calibri"/>
        <family val="2"/>
      </rPr>
      <t>05/02/2026</t>
    </r>
  </si>
  <si>
    <t>VALPROATO DE SÓDIO (ÁCIDO VALPROICO)  50 MG/ML XAROPE</t>
  </si>
  <si>
    <r>
      <rPr>
        <sz val="11"/>
        <color rgb="FFFF0000"/>
        <rFont val="Calibri"/>
        <family val="2"/>
      </rPr>
      <t xml:space="preserve">restante </t>
    </r>
    <r>
      <rPr>
        <sz val="11"/>
        <color rgb="FFFF0000"/>
        <rFont val="Calibri"/>
        <family val="2"/>
      </rPr>
      <t>18/03/2026</t>
    </r>
  </si>
  <si>
    <t>Sameh</t>
  </si>
  <si>
    <t xml:space="preserve">CEFTRIAXONA  1 G PÓ PARA SOLUÇÃO INJETÁVEL (VIA ENDOVENOSA) </t>
  </si>
  <si>
    <r>
      <rPr>
        <sz val="11"/>
        <color rgb="FFFF0000"/>
        <rFont val="Calibri"/>
        <family val="2"/>
      </rPr>
      <t>parcial</t>
    </r>
    <r>
      <rPr>
        <sz val="11"/>
        <color rgb="FFFF0000"/>
        <rFont val="Calibri"/>
        <family val="2"/>
      </rPr>
      <t xml:space="preserve"> 26/02/2026</t>
    </r>
  </si>
  <si>
    <t>CLARITROMICINA  500 MG COMPRIMIDO</t>
  </si>
  <si>
    <r>
      <rPr>
        <sz val="11"/>
        <color rgb="FFFF0000"/>
        <rFont val="Calibri"/>
        <family val="2"/>
      </rPr>
      <t xml:space="preserve">restante </t>
    </r>
    <r>
      <rPr>
        <sz val="11"/>
        <color rgb="FFFF0000"/>
        <rFont val="Calibri"/>
        <family val="2"/>
      </rPr>
      <t>16/04/26</t>
    </r>
  </si>
  <si>
    <t>Soma</t>
  </si>
  <si>
    <t>LIDOCAINA CLORIDRATO 20 MG/ML INJETÁVEL (VIA ENDOVENOSA)</t>
  </si>
  <si>
    <r>
      <rPr>
        <sz val="11"/>
        <color rgb="FFFF0000"/>
        <rFont val="Calibri"/>
        <family val="2"/>
      </rPr>
      <t>parcial</t>
    </r>
    <r>
      <rPr>
        <sz val="11"/>
        <color theme="1"/>
        <rFont val="Calibri"/>
        <family val="2"/>
      </rPr>
      <t xml:space="preserve"> 04/02/2026</t>
    </r>
  </si>
  <si>
    <t>FLUMAZENIL  0,1 MG/ML SOLUÇÃO INJETÁVEL (VIA ENDOVENOSA)</t>
  </si>
  <si>
    <r>
      <rPr>
        <sz val="11"/>
        <color rgb="FFFF0000"/>
        <rFont val="Calibri"/>
        <family val="2"/>
      </rPr>
      <t>parcial</t>
    </r>
    <r>
      <rPr>
        <sz val="11"/>
        <color theme="1"/>
        <rFont val="Calibri"/>
        <family val="2"/>
      </rPr>
      <t xml:space="preserve"> 04/02/2026</t>
    </r>
  </si>
  <si>
    <t>METOCLOPRAMIDA CLORIDRATO 10 MG COMPRIMIDO</t>
  </si>
  <si>
    <r>
      <rPr>
        <sz val="11"/>
        <color rgb="FFFF0000"/>
        <rFont val="Calibri"/>
        <family val="2"/>
      </rPr>
      <t>parcial</t>
    </r>
    <r>
      <rPr>
        <sz val="11"/>
        <color theme="1"/>
        <rFont val="Calibri"/>
        <family val="2"/>
      </rPr>
      <t xml:space="preserve"> 04/02/2026</t>
    </r>
  </si>
  <si>
    <t>União química</t>
  </si>
  <si>
    <t>HALOPERIDOL DECANOATO 50 MG/ML SOLUÇÃO INJETÁVEL (VIA INTRAMUSCULAR)</t>
  </si>
  <si>
    <t>recurso próprio prefeitura</t>
  </si>
  <si>
    <t>SIGAF 2</t>
  </si>
  <si>
    <t>Gabapentina 300mg</t>
  </si>
  <si>
    <t>Sulmedic</t>
  </si>
  <si>
    <t>BUDESONIDA + FORMOTEROL 400+12 MCG INALANTE</t>
  </si>
  <si>
    <t xml:space="preserve">conta 132276 </t>
  </si>
  <si>
    <t>Recurso medicamento complementar</t>
  </si>
  <si>
    <t>SIGAF 3 insumos</t>
  </si>
  <si>
    <t>SERINGA PARA APLICAÇÃO DE INSULINA - 1,0 ML - AGULHA 8,0 X 0,30 MM</t>
  </si>
  <si>
    <t>CLONAZEPAM  2,5 MG/ML SOLUCAO ORAL</t>
  </si>
  <si>
    <r>
      <rPr>
        <sz val="11"/>
        <color rgb="FFFF0000"/>
        <rFont val="Calibri"/>
        <family val="2"/>
      </rPr>
      <t xml:space="preserve">parcial </t>
    </r>
    <r>
      <rPr>
        <sz val="11"/>
        <color theme="1"/>
        <rFont val="Calibri"/>
        <family val="2"/>
      </rPr>
      <t>31/03/2026</t>
    </r>
  </si>
  <si>
    <r>
      <rPr>
        <sz val="11"/>
        <color rgb="FFFF0000"/>
        <rFont val="Calibri"/>
        <family val="2"/>
      </rPr>
      <t xml:space="preserve">parcial </t>
    </r>
    <r>
      <rPr>
        <sz val="11"/>
        <color theme="1"/>
        <rFont val="Calibri"/>
        <family val="2"/>
      </rPr>
      <t>31/03/2026</t>
    </r>
  </si>
  <si>
    <r>
      <rPr>
        <sz val="11"/>
        <color rgb="FFFF0000"/>
        <rFont val="Calibri"/>
        <family val="2"/>
      </rPr>
      <t xml:space="preserve">parcial </t>
    </r>
    <r>
      <rPr>
        <sz val="11"/>
        <color rgb="FFFF0000"/>
        <rFont val="Calibri"/>
        <family val="2"/>
      </rPr>
      <t>30/04/2026</t>
    </r>
  </si>
  <si>
    <r>
      <rPr>
        <sz val="11"/>
        <color rgb="FFFF0000"/>
        <rFont val="Calibri"/>
        <family val="2"/>
      </rPr>
      <t xml:space="preserve">parcial </t>
    </r>
    <r>
      <rPr>
        <sz val="11"/>
        <color rgb="FFFF0000"/>
        <rFont val="Calibri"/>
        <family val="2"/>
      </rPr>
      <t>30/04/2026</t>
    </r>
  </si>
  <si>
    <t>CARVEDILOL  6,25 MG COMPRIMIDO</t>
  </si>
  <si>
    <t>SULFAMETOXAZOL + TRIMETROPRIMA  40+8 MG/ML SUSPENSAO ORAL</t>
  </si>
  <si>
    <t>HALOPERIDOL  5 MG/ML SOLUÇÃO INJETÁVEL (VIA INTRAMUSCULAR)</t>
  </si>
  <si>
    <r>
      <rPr>
        <sz val="11"/>
        <color rgb="FFFF0000"/>
        <rFont val="Calibri"/>
        <family val="2"/>
      </rPr>
      <t xml:space="preserve">parcial </t>
    </r>
    <r>
      <rPr>
        <sz val="11"/>
        <color theme="1"/>
        <rFont val="Calibri"/>
        <family val="2"/>
      </rPr>
      <t>09/04/2026</t>
    </r>
  </si>
  <si>
    <r>
      <rPr>
        <sz val="11"/>
        <color rgb="FFFF0000"/>
        <rFont val="Calibri"/>
        <family val="2"/>
      </rPr>
      <t>finalizado</t>
    </r>
    <r>
      <rPr>
        <sz val="11"/>
        <color theme="1"/>
        <rFont val="Calibri"/>
        <family val="2"/>
      </rPr>
      <t xml:space="preserve"> 24/04/26</t>
    </r>
  </si>
  <si>
    <t>HIDRALAZINA CLORIDRATO 50 MG COMPRIMIDO</t>
  </si>
  <si>
    <r>
      <rPr>
        <sz val="11"/>
        <color rgb="FFFF0000"/>
        <rFont val="Calibri"/>
        <family val="2"/>
      </rPr>
      <t xml:space="preserve">parcial </t>
    </r>
    <r>
      <rPr>
        <sz val="11"/>
        <color rgb="FFFF0000"/>
        <rFont val="Calibri"/>
        <family val="2"/>
      </rPr>
      <t>23/04/2026</t>
    </r>
  </si>
  <si>
    <t>VALPROATO DE SÓDIO (ÁCIDO VALPROICO)  250 MG CAPSULA</t>
  </si>
  <si>
    <r>
      <rPr>
        <sz val="11"/>
        <color rgb="FFFF0000"/>
        <rFont val="Calibri"/>
        <family val="2"/>
      </rPr>
      <t xml:space="preserve">parcial </t>
    </r>
    <r>
      <rPr>
        <sz val="11"/>
        <color theme="1"/>
        <rFont val="Calibri"/>
        <family val="2"/>
      </rPr>
      <t>09/04/2026</t>
    </r>
  </si>
  <si>
    <t>VALPROATO DE SÓDIO (ÁCIDO VALPROICO)  500 MG COMPRIMIDO</t>
  </si>
  <si>
    <r>
      <rPr>
        <sz val="11"/>
        <color rgb="FFFF0000"/>
        <rFont val="Calibri"/>
        <family val="2"/>
      </rPr>
      <t xml:space="preserve">parcial </t>
    </r>
    <r>
      <rPr>
        <sz val="11"/>
        <color theme="1"/>
        <rFont val="Calibri"/>
        <family val="2"/>
      </rPr>
      <t>09/04/2026</t>
    </r>
  </si>
  <si>
    <t>CARVEDILOL  25 MG COMPRIMIDO</t>
  </si>
  <si>
    <t>ENALAPRIL MALEATO 20 MG COMPRIMIDO</t>
  </si>
  <si>
    <t>BIPERIDENO CLORIDRATO 2 MG COMPRIMIDO</t>
  </si>
  <si>
    <r>
      <rPr>
        <sz val="11"/>
        <color rgb="FFFF0000"/>
        <rFont val="Calibri"/>
        <family val="2"/>
      </rPr>
      <t xml:space="preserve">parcial </t>
    </r>
    <r>
      <rPr>
        <sz val="11"/>
        <color theme="1"/>
        <rFont val="Calibri"/>
        <family val="2"/>
      </rPr>
      <t>25/03/2026</t>
    </r>
  </si>
  <si>
    <t>CLORPROMAZINA CLORIDRATO 25 MG COMPRIMIDO</t>
  </si>
  <si>
    <r>
      <rPr>
        <sz val="11"/>
        <color rgb="FFFF0000"/>
        <rFont val="Calibri"/>
        <family val="2"/>
      </rPr>
      <t>parcial</t>
    </r>
    <r>
      <rPr>
        <sz val="11"/>
        <color theme="1"/>
        <rFont val="Calibri"/>
        <family val="2"/>
      </rPr>
      <t xml:space="preserve"> 25/03/2026</t>
    </r>
  </si>
  <si>
    <t>FENOBARBITAL SODICO 100 MG/ML SOLUÇÃO INJETÁVEL</t>
  </si>
  <si>
    <r>
      <rPr>
        <sz val="11"/>
        <color rgb="FFFF0000"/>
        <rFont val="Calibri"/>
        <family val="2"/>
      </rPr>
      <t xml:space="preserve">parcial2 </t>
    </r>
    <r>
      <rPr>
        <sz val="11"/>
        <color rgb="FFFF0000"/>
        <rFont val="Calibri"/>
        <family val="2"/>
      </rPr>
      <t>13/04/26</t>
    </r>
  </si>
  <si>
    <t>FENOBARBITAL SODICO 40 MG/ML SOLUCAO ORAL</t>
  </si>
  <si>
    <r>
      <rPr>
        <sz val="11"/>
        <color rgb="FFFF0000"/>
        <rFont val="Calibri"/>
        <family val="2"/>
      </rPr>
      <t xml:space="preserve">restante </t>
    </r>
    <r>
      <rPr>
        <sz val="11"/>
        <color rgb="FFFF0000"/>
        <rFont val="Calibri"/>
        <family val="2"/>
      </rPr>
      <t>15/04/2026</t>
    </r>
  </si>
  <si>
    <t>LEVODOPA + BENSERAZIDA  200+50 MG COMPRIMIDO</t>
  </si>
  <si>
    <r>
      <rPr>
        <sz val="11"/>
        <color rgb="FFFF0000"/>
        <rFont val="Calibri"/>
        <family val="2"/>
      </rPr>
      <t xml:space="preserve">parcial2 </t>
    </r>
    <r>
      <rPr>
        <sz val="11"/>
        <color rgb="FFFF0000"/>
        <rFont val="Calibri"/>
        <family val="2"/>
      </rPr>
      <t>13/04/26</t>
    </r>
  </si>
  <si>
    <t>Medcenter</t>
  </si>
  <si>
    <t>ATENOLOL  50 MG COMPRIMIDO</t>
  </si>
  <si>
    <t>MedH</t>
  </si>
  <si>
    <t>CARBAMAZEPINA  200 MG COMPRIMIDO</t>
  </si>
  <si>
    <r>
      <rPr>
        <sz val="11"/>
        <color rgb="FFFF0000"/>
        <rFont val="Calibri"/>
        <family val="2"/>
      </rPr>
      <t xml:space="preserve">parcial </t>
    </r>
    <r>
      <rPr>
        <sz val="11"/>
        <color rgb="FFFF0000"/>
        <rFont val="Calibri"/>
        <family val="2"/>
      </rPr>
      <t>20/03/2026</t>
    </r>
  </si>
  <si>
    <t>CEFALEXINA  50 MG/ML SUSPENSAO ORAL</t>
  </si>
  <si>
    <r>
      <rPr>
        <sz val="11"/>
        <color rgb="FFFF0000"/>
        <rFont val="Calibri"/>
        <family val="2"/>
      </rPr>
      <t xml:space="preserve">parcial </t>
    </r>
    <r>
      <rPr>
        <sz val="11"/>
        <color rgb="FFFF0000"/>
        <rFont val="Calibri"/>
        <family val="2"/>
      </rPr>
      <t>20/03/2026</t>
    </r>
  </si>
  <si>
    <t>NITROFURANTOINA  100 MG CAPSULA</t>
  </si>
  <si>
    <r>
      <rPr>
        <sz val="11"/>
        <color rgb="FFFF0000"/>
        <rFont val="Calibri"/>
        <family val="2"/>
      </rPr>
      <t xml:space="preserve">restante </t>
    </r>
    <r>
      <rPr>
        <sz val="11"/>
        <color rgb="FFFF0000"/>
        <rFont val="Calibri"/>
        <family val="2"/>
      </rPr>
      <t>09/06/2026</t>
    </r>
  </si>
  <si>
    <t>AMOXICILINA + CLAVULANATO DE POTASSIO  500+125 MG COMPRIMIDO</t>
  </si>
  <si>
    <t>CLORPROMAZINA CLORIDRATO 100 MG COMPRIMIDO</t>
  </si>
  <si>
    <t>CLORPROMAZINA CLORIDRATO 5 MG/ML SOLUÇÃO INJETÁVEL</t>
  </si>
  <si>
    <t>FLUOXETINA CLORIDRATO 20 MG CAPSULA</t>
  </si>
  <si>
    <t>LITIO CARBONATO 300 MG COMPRIMIDO</t>
  </si>
  <si>
    <t>DIAZEPAM  10 MG COMPRIMIDO</t>
  </si>
  <si>
    <t>Soma/mg</t>
  </si>
  <si>
    <t>AMOXICILINA  500 MG CÁPSULA DURA</t>
  </si>
  <si>
    <t>Cisamapi março</t>
  </si>
  <si>
    <t>inovamed</t>
  </si>
  <si>
    <t>TRAMADOL CLORIDRATO 50 MG/ML SOLUÇÃO INJETÁVEL</t>
  </si>
  <si>
    <t>12/25/2026</t>
  </si>
  <si>
    <t>CM hospitalar</t>
  </si>
  <si>
    <t xml:space="preserve">INSULINA ANÁLOGA DE AÇÃO PROLONGADA  100 UI/ML (FR) SOLUÇÃO INJETÁVEL  </t>
  </si>
  <si>
    <t xml:space="preserve">INSULINA ANÁLOGA DE AÇÃO PROLONGADA  100 UI/ML (RF/CANETA) SOLUÇÃO INJETÁVEL  </t>
  </si>
  <si>
    <t>BROMOPRIDA  10 MG CÁPSULA DURA</t>
  </si>
  <si>
    <t>CISAMAPI março</t>
  </si>
  <si>
    <t>Top Norte</t>
  </si>
  <si>
    <t>ACEBROFILINA  5 MG/ML XAROPE</t>
  </si>
  <si>
    <t>cancelado pela empresa</t>
  </si>
  <si>
    <t>cancelado</t>
  </si>
  <si>
    <t>AMBROXOL CLORIDRATO 6 MG/ML XAROPE</t>
  </si>
  <si>
    <t>Pref março</t>
  </si>
  <si>
    <t>Cofarminas</t>
  </si>
  <si>
    <t>OMEPRAZOL SODICO 40 MG/ML PO PARA INJETAVEL</t>
  </si>
  <si>
    <r>
      <rPr>
        <sz val="11"/>
        <color rgb="FFFF0000"/>
        <rFont val="Calibri"/>
        <family val="2"/>
      </rPr>
      <t xml:space="preserve">restante </t>
    </r>
    <r>
      <rPr>
        <sz val="11"/>
        <color rgb="FFFF0000"/>
        <rFont val="Calibri"/>
        <family val="2"/>
      </rPr>
      <t>26/06/26</t>
    </r>
  </si>
  <si>
    <t>IPRATROPIO BROMETO 0,25 MG/ML SOLUCAO PARA INALACAO</t>
  </si>
  <si>
    <r>
      <rPr>
        <sz val="11"/>
        <color rgb="FFFF0000"/>
        <rFont val="Calibri"/>
        <family val="2"/>
      </rPr>
      <t xml:space="preserve">parcial </t>
    </r>
    <r>
      <rPr>
        <sz val="11"/>
        <color rgb="FFFF0000"/>
        <rFont val="Calibri"/>
        <family val="2"/>
      </rPr>
      <t>17/04/2026</t>
    </r>
  </si>
  <si>
    <t>Goldem</t>
  </si>
  <si>
    <t>lanceta aco inoxidavel descart</t>
  </si>
  <si>
    <t>RISPERIDONA  1 MG/ML SOLUCAO ORAL</t>
  </si>
  <si>
    <r>
      <rPr>
        <sz val="11"/>
        <color rgb="FFFF0000"/>
        <rFont val="Calibri"/>
        <family val="2"/>
      </rPr>
      <t xml:space="preserve">parcial </t>
    </r>
    <r>
      <rPr>
        <sz val="11"/>
        <color rgb="FFFF0000"/>
        <rFont val="Calibri"/>
        <family val="2"/>
      </rPr>
      <t>13/04/2026</t>
    </r>
  </si>
  <si>
    <r>
      <rPr>
        <sz val="11"/>
        <color rgb="FFFF0000"/>
        <rFont val="Calibri"/>
        <family val="2"/>
      </rPr>
      <t xml:space="preserve">restante </t>
    </r>
    <r>
      <rPr>
        <sz val="11"/>
        <color rgb="FFFF0000"/>
        <rFont val="Calibri"/>
        <family val="2"/>
      </rPr>
      <t>17/04/2026</t>
    </r>
  </si>
  <si>
    <t>Valor pedido</t>
  </si>
  <si>
    <t>conta 66241018</t>
  </si>
  <si>
    <t>Recurso CBAF federal</t>
  </si>
  <si>
    <t>IBUPROFENO  600 MG COMPRIMIDO</t>
  </si>
  <si>
    <r>
      <rPr>
        <sz val="11"/>
        <color rgb="FFFF0000"/>
        <rFont val="Calibri"/>
        <family val="2"/>
      </rPr>
      <t xml:space="preserve">parcial </t>
    </r>
    <r>
      <rPr>
        <sz val="11"/>
        <color theme="1"/>
        <rFont val="Calibri"/>
        <family val="2"/>
      </rPr>
      <t>13/04/2026</t>
    </r>
  </si>
  <si>
    <t>BENZILPENICILINA BENZATINA 600.000 UI PÓ PARA SUSPENSÃO INJETÁVEL (VIA INTRAMUSCULAR)</t>
  </si>
  <si>
    <r>
      <rPr>
        <sz val="11"/>
        <color rgb="FFFF0000"/>
        <rFont val="Calibri"/>
        <family val="2"/>
      </rPr>
      <t>parcial</t>
    </r>
    <r>
      <rPr>
        <sz val="11"/>
        <color theme="1"/>
        <rFont val="Calibri"/>
        <family val="2"/>
      </rPr>
      <t xml:space="preserve"> 13/04/2026</t>
    </r>
  </si>
  <si>
    <t>DEXAMETASONA  1 MG/G (0,1%)  CREME DERMATOLOGICO</t>
  </si>
  <si>
    <r>
      <rPr>
        <sz val="11"/>
        <color rgb="FFFF0000"/>
        <rFont val="Calibri"/>
        <family val="2"/>
      </rPr>
      <t xml:space="preserve">restante </t>
    </r>
    <r>
      <rPr>
        <sz val="11"/>
        <color rgb="FFFF0000"/>
        <rFont val="Calibri"/>
        <family val="2"/>
      </rPr>
      <t>06/05/2026</t>
    </r>
  </si>
  <si>
    <t>DEXAMETASONA  4 MG COMPRIMIDO</t>
  </si>
  <si>
    <r>
      <rPr>
        <sz val="11"/>
        <color rgb="FFFF0000"/>
        <rFont val="Calibri"/>
        <family val="2"/>
      </rPr>
      <t>parcial</t>
    </r>
    <r>
      <rPr>
        <sz val="11"/>
        <color theme="1"/>
        <rFont val="Calibri"/>
        <family val="2"/>
      </rPr>
      <t xml:space="preserve"> 13/04/2026</t>
    </r>
  </si>
  <si>
    <t>Santa Barbara</t>
  </si>
  <si>
    <t>DIPIRONA SODICA 500 MG/ML SOLUÇÃO INJETÁVEL (VIA ENDOVENOSA OU INTRAMUSCULAR)</t>
  </si>
  <si>
    <t>ACEBROFILINA  10 MG/ML XAROPE</t>
  </si>
  <si>
    <t>AMBROXOL CLORIDRATO 3 MG/ML XAROPE</t>
  </si>
  <si>
    <t>Vale Comercial</t>
  </si>
  <si>
    <t>BENZILPENICILINA BENZATINA 1.200.000 UI PÓ PARA SUSPENSÃO INJETÁVEL (VIA INTRAMUSCULAR)</t>
  </si>
  <si>
    <t>LEVOMEPROMAZINA MALEATO 40 MG/ML SOLUCAO ORAL</t>
  </si>
  <si>
    <t>ACIDO ACETILSALICILICO  100 MG COMPRIMIDO</t>
  </si>
  <si>
    <t>CLONAZEPAM  2 MG COMPRIMIDO</t>
  </si>
  <si>
    <t>DIPIRONA SODICA 500 MG COMPRIMIDO</t>
  </si>
  <si>
    <t>ALBENDAZOL  40 MG/ML SUSPENSAO ORAL</t>
  </si>
  <si>
    <t>DEXAMETASONA FOSFATO DISSODICO 4 MG/ML SOLUÇÃO INJETÁVEL (VIA ENDOVENOSA OU INTRAMUSCULAR)</t>
  </si>
  <si>
    <t>METILFENIDATO CLORIDRATO 10 MG COMPRIMIDO</t>
  </si>
  <si>
    <t>recurso medicamento CBAF estadual</t>
  </si>
  <si>
    <t>Sigaf DM</t>
  </si>
  <si>
    <t>Cromo dist</t>
  </si>
  <si>
    <t>GLICOSIMETRO (MONITOR DE GLICOSE)</t>
  </si>
  <si>
    <t>TIRAS REAGENTES PARA MEDIÇÃO DE GLICEMIA</t>
  </si>
  <si>
    <t>conta 15059-2</t>
  </si>
  <si>
    <t>recurso que Hermínio me disse para usar</t>
  </si>
  <si>
    <t>Distribem</t>
  </si>
  <si>
    <t>QUETIAPINA 100 MG COMPRIMIDO</t>
  </si>
  <si>
    <t>AMINOFILINA  24 MG/ML SOLUÇÃO INJETÁVEL</t>
  </si>
  <si>
    <t>COLAGENASE  0,6 U/G POMADA</t>
  </si>
  <si>
    <t>Ativa médico</t>
  </si>
  <si>
    <t>METOCLOPRAMIDA CLORIDRATO 4 MG/ML SOLUCAO ORAL</t>
  </si>
  <si>
    <t>METRONIDAZOL  100 MG/G GEL VAGINAL</t>
  </si>
  <si>
    <t>distribem</t>
  </si>
  <si>
    <t>Santa bárbara</t>
  </si>
  <si>
    <t>ACICLOVIR SODICO 50 MG/G (5%)  CREME</t>
  </si>
  <si>
    <t>LORATADINA  10 MG COMPRIMIDO</t>
  </si>
  <si>
    <t>SERTRALINA CLORIDRATO 50 MG COMPRIMIDO REVESTIDO</t>
  </si>
  <si>
    <t>Golden</t>
  </si>
  <si>
    <t>DIPIRONA SODICA 500 MG/ML SOLUÇÃO ORAL</t>
  </si>
  <si>
    <t>BUTILBROMETO DE ESCOPOLAMINA + DIPIRONA SÓDICA  6,67+333,4 MG/ML SOLUCAO ORAL</t>
  </si>
  <si>
    <t>BUTILBROMETO DE ESCOPOLAMINA  10 MG DRÁGEA</t>
  </si>
  <si>
    <t>RISPERIDONA  2 MG COMPRIMIDO REVESTIDO</t>
  </si>
  <si>
    <t>PROMETAZINA CLORIDRATO 25 MG/ML SOLUÇÃO INJETÁVEL (VIA INTRAMUSCULAR)</t>
  </si>
  <si>
    <t>ILG</t>
  </si>
  <si>
    <t>cancelado a pedido da empresa</t>
  </si>
  <si>
    <t>ALPRAZOLAM  1 MG COMPRIMIDO</t>
  </si>
  <si>
    <t>Vale comercial</t>
  </si>
  <si>
    <t>CARBONATO DE CALCIO  1250 MG (500 MG DE CALCIO)  COMPRIMIDO</t>
  </si>
  <si>
    <t>TIAMINA (VITAMINA B1) + RIBOFLAVINA (VITAMINA B2) + NICOTINAMIDA (VITAMINA B3) + PIRIDOXINA (VITAMINA B6) + PANTOTENATO DE CALCIO (VITAMINA B5) + CIANOCOBALAMINA (VITAMINA B12)  1,2+1,3+2,4+1,3+5+2,4 MG COMPRIMIDO</t>
  </si>
  <si>
    <t>HALOPERIDOL  2 MG/ML SOLUCAO ORAL</t>
  </si>
  <si>
    <t>Rio Clarense</t>
  </si>
  <si>
    <r>
      <rPr>
        <sz val="11"/>
        <color rgb="FFFF0000"/>
        <rFont val="Calibri"/>
        <family val="2"/>
      </rPr>
      <t xml:space="preserve">parcial </t>
    </r>
    <r>
      <rPr>
        <sz val="11"/>
        <color theme="1"/>
        <rFont val="Calibri"/>
        <family val="2"/>
      </rPr>
      <t>24/06/2026</t>
    </r>
  </si>
  <si>
    <t>METILDOPA 250 MGCOMPRIMIDO</t>
  </si>
  <si>
    <r>
      <rPr>
        <sz val="11"/>
        <color rgb="FFFF0000"/>
        <rFont val="Calibri"/>
        <family val="2"/>
      </rPr>
      <t xml:space="preserve">parcial </t>
    </r>
    <r>
      <rPr>
        <sz val="11"/>
        <color theme="1"/>
        <rFont val="Calibri"/>
        <family val="2"/>
      </rPr>
      <t>24/06/2026</t>
    </r>
  </si>
  <si>
    <t>Green Med</t>
  </si>
  <si>
    <t>Med center</t>
  </si>
  <si>
    <t>ISOSSORBIDA MONONITRATO 20MG COMPRIMIDO</t>
  </si>
  <si>
    <t>SINVASTATINA 10 MGCOMPRIMIDO REVESTIDO</t>
  </si>
  <si>
    <t xml:space="preserve">SINVASTATINA 20 MGCOMPRIMIDO REVESTIDO </t>
  </si>
  <si>
    <t>SINVASTATINA 40 MGCOMPRIMIDO REVESTIDO</t>
  </si>
  <si>
    <t>NORTRIPTILINA CLORIDRATO 25 MG CAPSULA</t>
  </si>
  <si>
    <t>SomaMG</t>
  </si>
  <si>
    <t>NORTRIPTILINA CLORIDRATO 50 MG CAPSULA</t>
  </si>
  <si>
    <t>ALBENDAZOL 40 MG/ML SUSPENSAO ORAL</t>
  </si>
  <si>
    <t>Chiesi</t>
  </si>
  <si>
    <t>BECLOMETASONA DIPROPIONATO 250 MCG/DOSE AEROSSOL ORAL</t>
  </si>
  <si>
    <t>ÁGUA DESTILADA, BIDESTILADA, ESTÉRIL, APIROGÊNICA AMPOLA 10 ML</t>
  </si>
  <si>
    <t>EPINEFRINA HEMITARTARATO 1 MG/ML (OU 0,55MG/ML DE EPINEFRINA BASE) SOLUÇÃO INJETÁVEL</t>
  </si>
  <si>
    <t>NOREPINEFRINA HEMITARTARATO 2 MG/ML (OU 1MG/ML DE NOREPINEFRINA BASE) SOLUÇÃO INJETÁVEL (VIA ENDOVENOSA)</t>
  </si>
  <si>
    <t>ALOPURINOL 100 MG COMPRIMIDO</t>
  </si>
  <si>
    <t>ALOPURINOL 300 MG COMPRIMIDO</t>
  </si>
  <si>
    <t>PREDNISONA 20 MG COMPRIMIDO</t>
  </si>
  <si>
    <t>SALBUTAMOL SULFATO 100 MCG AEROSSOL ORAL</t>
  </si>
  <si>
    <t>PREDNISOLONA FOSFATO SODICO 3 MG/ML SOLUCAO ORAL</t>
  </si>
  <si>
    <t>HIDROCORTISONA SUCCINATO DE SODIO 500 MG PÓ PARA SOLUÇÃO INJETÁVEL (VIA INTRAMUSCULAR)</t>
  </si>
  <si>
    <t>596,00 desse recurso teve empenho cancelado</t>
  </si>
  <si>
    <t>tres farma</t>
  </si>
  <si>
    <t>ACICLOVIR SODICO 200 MG COMPRIMIDO</t>
  </si>
  <si>
    <t>transposição 30.000</t>
  </si>
  <si>
    <t>cofarminas</t>
  </si>
  <si>
    <t>DILTIAZEM 30 MG</t>
  </si>
  <si>
    <t>TIAMINA + RIBOFLAVINA + PIRIDOXINA + NICOTINAMIDA + PANTOTENATO DE CALCIO INJETAVEL</t>
  </si>
  <si>
    <t>INSULINA ANALOGA DE ACAO PROLONGADA 100 UI/ML FR INJETAVEL</t>
  </si>
  <si>
    <t>INSULINA ANALOGA DE ACAO PROLONGADA 100 UI/ML RF/CANETA INJETAVEL</t>
  </si>
  <si>
    <t>alfalagos</t>
  </si>
  <si>
    <t>Santa Bárbara</t>
  </si>
  <si>
    <t>ACEBROFILINA 10 MG/ML ORAL</t>
  </si>
  <si>
    <t>CEFALEXINA 500 MG</t>
  </si>
  <si>
    <t xml:space="preserve">OXIBUPROCAÍNA SOLUÇÃO OFTÁLMICA ESTÉRIL 4 MG/ML </t>
  </si>
  <si>
    <t>distrimix</t>
  </si>
  <si>
    <t>Soma MG</t>
  </si>
  <si>
    <t>RIVAROXABANA 20 MG</t>
  </si>
  <si>
    <t>BH FARMA</t>
  </si>
  <si>
    <t>CIRURGICA RIOC</t>
  </si>
  <si>
    <t>MULTIFARMA</t>
  </si>
  <si>
    <t>SAMEH SOL HOSP</t>
  </si>
  <si>
    <t>SIRIO PHARMA</t>
  </si>
  <si>
    <t>SOMA/MG</t>
  </si>
  <si>
    <t>CIRURGICA RIOCL</t>
  </si>
  <si>
    <t>ACIDO ACETILSALICILICO 100 MG</t>
  </si>
  <si>
    <t>PROMETAZINA CLORIDRATO 25 MG</t>
  </si>
  <si>
    <t>PRATI</t>
  </si>
  <si>
    <t>valor total do pedido</t>
  </si>
  <si>
    <t>MED CENTER</t>
  </si>
  <si>
    <t>comprou só 10.000</t>
  </si>
  <si>
    <t>MEDH DISTRIBUIDO</t>
  </si>
  <si>
    <t>SOMA/MG PROD</t>
  </si>
  <si>
    <t>ACACIA</t>
  </si>
  <si>
    <t>INOVAMED HOSP</t>
  </si>
  <si>
    <r>
      <rPr>
        <sz val="8"/>
        <color rgb="FF000000"/>
        <rFont val="Calibri"/>
        <family val="2"/>
      </rPr>
      <t xml:space="preserve">82072 - MORFINA 10MG/ML SOLUC.INJ.10MG (CRISTALIA) </t>
    </r>
  </si>
  <si>
    <t>total</t>
  </si>
  <si>
    <t>em espera</t>
  </si>
  <si>
    <t>não realizado empenho</t>
  </si>
  <si>
    <t>Sigaf diabetes</t>
  </si>
  <si>
    <t>cromo</t>
  </si>
  <si>
    <t>conta 18.727-5</t>
  </si>
  <si>
    <t>conta 18865-4</t>
  </si>
  <si>
    <t>(18865-4?) foi combinado recurso próprio, mas nas minhas férias foi realinhado recurso de transposição)</t>
  </si>
  <si>
    <t>recurso próprio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</si>
</sst>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&quot;R$&quot;\ #,##0.0000"/>
    <numFmt numFmtId="165" formatCode="&quot;R$&quot;\ #,##0.000"/>
    <numFmt numFmtId="166" formatCode="&quot;R$&quot;\ #,##0.0000;[Red]\-&quot;R$&quot;\ #,##0.0000"/>
    <numFmt numFmtId="167" formatCode="#,##0.000"/>
    <numFmt numFmtId="168" formatCode="&quot;R$&quot;\ #,##0.00"/>
  </numFmts>
  <fonts count="17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8"/>
      <color theme="1"/>
      <name val="Calibri"/>
      <family val="2"/>
    </font>
    <font>
      <sz val="8"/>
      <color theme="1"/>
      <name val="Calibri"/>
      <family val="2"/>
    </font>
    <font>
      <sz val="8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sz val="10"/>
      <color rgb="FF000000"/>
      <name val="Times New Roman"/>
      <family val="1"/>
    </font>
    <font>
      <sz val="8"/>
      <color rgb="FF000000"/>
      <name val="SansSerif"/>
    </font>
    <font>
      <b/>
      <sz val="8"/>
      <color rgb="FF000000"/>
      <name val="Calibri"/>
      <family val="2"/>
    </font>
    <font>
      <sz val="11"/>
      <color theme="1"/>
      <name val="Calibri"/>
      <family val="2"/>
      <scheme val="minor"/>
    </font>
    <font>
      <sz val="8"/>
      <color rgb="FF000000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  <fill>
      <patternFill patternType="solid">
        <fgColor rgb="FFD0CECE"/>
        <bgColor rgb="FFD0CECE"/>
      </patternFill>
    </fill>
    <fill>
      <patternFill patternType="solid">
        <fgColor rgb="FFC5E0B3"/>
        <bgColor rgb="FFC5E0B3"/>
      </patternFill>
    </fill>
    <fill>
      <patternFill patternType="solid">
        <fgColor rgb="FFFFFFFF"/>
        <bgColor rgb="FFFFFFFF"/>
      </patternFill>
    </fill>
  </fills>
  <borders count="27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ck">
        <color rgb="FF9CC2E5"/>
      </bottom>
      <diagonal/>
    </border>
    <border>
      <left/>
      <right/>
      <top/>
      <bottom style="thick">
        <color rgb="FFFF0000"/>
      </bottom>
      <diagonal/>
    </border>
    <border>
      <left/>
      <right/>
      <top style="thick">
        <color rgb="FFFF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ck">
        <color rgb="FF9CC2E5"/>
      </top>
      <bottom style="thin">
        <color rgb="FF00000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FF0000"/>
      </bottom>
      <diagonal/>
    </border>
    <border>
      <left/>
      <right/>
      <top style="thin">
        <color rgb="FF000000"/>
      </top>
      <bottom style="thick">
        <color rgb="FF9CC2E5"/>
      </bottom>
      <diagonal/>
    </border>
    <border>
      <left/>
      <right/>
      <top style="thick">
        <color rgb="FF9CC2E5"/>
      </top>
      <bottom style="thick">
        <color rgb="FF9CC2E5"/>
      </bottom>
      <diagonal/>
    </border>
    <border>
      <left/>
      <right/>
      <top style="thick">
        <color rgb="FF9CC2E5"/>
      </top>
      <bottom style="thin">
        <color rgb="FF000000"/>
      </bottom>
      <diagonal/>
    </border>
    <border>
      <left/>
      <right/>
      <top style="thin">
        <color rgb="FF000000"/>
      </top>
      <bottom style="thick">
        <color rgb="FFFF0000"/>
      </bottom>
      <diagonal/>
    </border>
    <border>
      <left/>
      <right/>
      <top style="thin">
        <color rgb="FF000000"/>
      </top>
      <bottom style="thick">
        <color rgb="FFFF0000"/>
      </bottom>
      <diagonal/>
    </border>
    <border>
      <left/>
      <right/>
      <top style="thick">
        <color rgb="FFFF0000"/>
      </top>
      <bottom style="thin">
        <color rgb="FF000000"/>
      </bottom>
      <diagonal/>
    </border>
    <border>
      <left/>
      <right/>
      <top style="thick">
        <color rgb="FFFF0000"/>
      </top>
      <bottom style="thick">
        <color rgb="FF8EAADB"/>
      </bottom>
      <diagonal/>
    </border>
    <border>
      <left/>
      <right/>
      <top style="thick">
        <color rgb="FFFF0000"/>
      </top>
      <bottom style="thick">
        <color rgb="FF9CC2E5"/>
      </bottom>
      <diagonal/>
    </border>
    <border>
      <left/>
      <right/>
      <top style="thin">
        <color rgb="FF000000"/>
      </top>
      <bottom style="thick">
        <color rgb="FF9CC2E5"/>
      </bottom>
      <diagonal/>
    </border>
    <border>
      <left/>
      <right/>
      <top/>
      <bottom style="thick">
        <color rgb="FF9CC2E5"/>
      </bottom>
      <diagonal/>
    </border>
    <border>
      <left style="medium">
        <color rgb="FFD2D2D2"/>
      </left>
      <right style="medium">
        <color rgb="FFD2D2D2"/>
      </right>
      <top style="thin">
        <color rgb="FF000000"/>
      </top>
      <bottom style="thin">
        <color rgb="FF000000"/>
      </bottom>
      <diagonal/>
    </border>
    <border>
      <left/>
      <right/>
      <top style="thick">
        <color theme="4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271">
    <xf numFmtId="0" fontId="0" fillId="0" borderId="0" xfId="0" applyFont="1" applyAlignment="1"/>
    <xf numFmtId="0" fontId="4" fillId="0" borderId="0" xfId="0" applyFont="1"/>
    <xf numFmtId="14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 wrapText="1"/>
    </xf>
    <xf numFmtId="165" fontId="5" fillId="0" borderId="0" xfId="0" applyNumberFormat="1" applyFont="1" applyAlignment="1">
      <alignment horizontal="center" vertical="center" wrapText="1"/>
    </xf>
    <xf numFmtId="14" fontId="4" fillId="2" borderId="1" xfId="0" applyNumberFormat="1" applyFont="1" applyFill="1" applyBorder="1"/>
    <xf numFmtId="14" fontId="4" fillId="0" borderId="2" xfId="0" applyNumberFormat="1" applyFont="1" applyBorder="1"/>
    <xf numFmtId="0" fontId="4" fillId="3" borderId="1" xfId="0" applyFont="1" applyFill="1" applyBorder="1"/>
    <xf numFmtId="0" fontId="4" fillId="0" borderId="2" xfId="0" applyFont="1" applyBorder="1"/>
    <xf numFmtId="0" fontId="6" fillId="3" borderId="3" xfId="0" applyFont="1" applyFill="1" applyBorder="1"/>
    <xf numFmtId="0" fontId="6" fillId="0" borderId="2" xfId="0" applyFont="1" applyBorder="1"/>
    <xf numFmtId="0" fontId="5" fillId="3" borderId="1" xfId="0" applyFont="1" applyFill="1" applyBorder="1"/>
    <xf numFmtId="3" fontId="5" fillId="0" borderId="2" xfId="0" applyNumberFormat="1" applyFont="1" applyBorder="1"/>
    <xf numFmtId="164" fontId="4" fillId="3" borderId="1" xfId="0" applyNumberFormat="1" applyFont="1" applyFill="1" applyBorder="1"/>
    <xf numFmtId="164" fontId="4" fillId="0" borderId="2" xfId="0" applyNumberFormat="1" applyFont="1" applyBorder="1"/>
    <xf numFmtId="165" fontId="4" fillId="3" borderId="1" xfId="0" applyNumberFormat="1" applyFont="1" applyFill="1" applyBorder="1"/>
    <xf numFmtId="165" fontId="4" fillId="0" borderId="2" xfId="0" applyNumberFormat="1" applyFont="1" applyBorder="1"/>
    <xf numFmtId="14" fontId="4" fillId="3" borderId="1" xfId="0" applyNumberFormat="1" applyFont="1" applyFill="1" applyBorder="1"/>
    <xf numFmtId="0" fontId="4" fillId="3" borderId="4" xfId="0" applyFont="1" applyFill="1" applyBorder="1"/>
    <xf numFmtId="0" fontId="4" fillId="3" borderId="3" xfId="0" applyFont="1" applyFill="1" applyBorder="1"/>
    <xf numFmtId="14" fontId="4" fillId="4" borderId="4" xfId="0" applyNumberFormat="1" applyFont="1" applyFill="1" applyBorder="1"/>
    <xf numFmtId="0" fontId="5" fillId="3" borderId="3" xfId="0" applyFont="1" applyFill="1" applyBorder="1"/>
    <xf numFmtId="0" fontId="4" fillId="4" borderId="4" xfId="0" applyFont="1" applyFill="1" applyBorder="1"/>
    <xf numFmtId="0" fontId="6" fillId="4" borderId="4" xfId="0" applyFont="1" applyFill="1" applyBorder="1"/>
    <xf numFmtId="0" fontId="5" fillId="4" borderId="4" xfId="0" applyFont="1" applyFill="1" applyBorder="1"/>
    <xf numFmtId="164" fontId="4" fillId="3" borderId="3" xfId="0" applyNumberFormat="1" applyFont="1" applyFill="1" applyBorder="1"/>
    <xf numFmtId="164" fontId="4" fillId="4" borderId="4" xfId="0" applyNumberFormat="1" applyFont="1" applyFill="1" applyBorder="1"/>
    <xf numFmtId="165" fontId="4" fillId="3" borderId="3" xfId="0" applyNumberFormat="1" applyFont="1" applyFill="1" applyBorder="1"/>
    <xf numFmtId="165" fontId="4" fillId="4" borderId="4" xfId="0" applyNumberFormat="1" applyFont="1" applyFill="1" applyBorder="1"/>
    <xf numFmtId="14" fontId="4" fillId="3" borderId="3" xfId="0" applyNumberFormat="1" applyFont="1" applyFill="1" applyBorder="1"/>
    <xf numFmtId="14" fontId="4" fillId="0" borderId="0" xfId="0" applyNumberFormat="1" applyFont="1"/>
    <xf numFmtId="0" fontId="7" fillId="0" borderId="0" xfId="0" applyFont="1"/>
    <xf numFmtId="0" fontId="5" fillId="0" borderId="2" xfId="0" applyFont="1" applyBorder="1"/>
    <xf numFmtId="14" fontId="4" fillId="4" borderId="1" xfId="0" applyNumberFormat="1" applyFont="1" applyFill="1" applyBorder="1"/>
    <xf numFmtId="0" fontId="4" fillId="4" borderId="1" xfId="0" applyFont="1" applyFill="1" applyBorder="1"/>
    <xf numFmtId="0" fontId="7" fillId="5" borderId="1" xfId="0" applyFont="1" applyFill="1" applyBorder="1"/>
    <xf numFmtId="0" fontId="5" fillId="4" borderId="1" xfId="0" applyFont="1" applyFill="1" applyBorder="1"/>
    <xf numFmtId="164" fontId="4" fillId="4" borderId="1" xfId="0" applyNumberFormat="1" applyFont="1" applyFill="1" applyBorder="1"/>
    <xf numFmtId="165" fontId="4" fillId="4" borderId="1" xfId="0" applyNumberFormat="1" applyFont="1" applyFill="1" applyBorder="1"/>
    <xf numFmtId="14" fontId="4" fillId="4" borderId="5" xfId="0" applyNumberFormat="1" applyFont="1" applyFill="1" applyBorder="1"/>
    <xf numFmtId="0" fontId="7" fillId="5" borderId="4" xfId="0" applyFont="1" applyFill="1" applyBorder="1"/>
    <xf numFmtId="14" fontId="4" fillId="4" borderId="3" xfId="0" applyNumberFormat="1" applyFont="1" applyFill="1" applyBorder="1"/>
    <xf numFmtId="0" fontId="4" fillId="4" borderId="3" xfId="0" applyFont="1" applyFill="1" applyBorder="1"/>
    <xf numFmtId="0" fontId="7" fillId="4" borderId="3" xfId="0" applyFont="1" applyFill="1" applyBorder="1" applyAlignment="1">
      <alignment vertical="center"/>
    </xf>
    <xf numFmtId="0" fontId="6" fillId="4" borderId="3" xfId="0" applyFont="1" applyFill="1" applyBorder="1"/>
    <xf numFmtId="0" fontId="5" fillId="4" borderId="3" xfId="0" applyFont="1" applyFill="1" applyBorder="1"/>
    <xf numFmtId="164" fontId="4" fillId="4" borderId="3" xfId="0" applyNumberFormat="1" applyFont="1" applyFill="1" applyBorder="1"/>
    <xf numFmtId="165" fontId="4" fillId="4" borderId="3" xfId="0" applyNumberFormat="1" applyFont="1" applyFill="1" applyBorder="1"/>
    <xf numFmtId="14" fontId="4" fillId="0" borderId="6" xfId="0" applyNumberFormat="1" applyFont="1" applyBorder="1"/>
    <xf numFmtId="0" fontId="5" fillId="0" borderId="0" xfId="0" applyFont="1"/>
    <xf numFmtId="164" fontId="4" fillId="0" borderId="0" xfId="0" applyNumberFormat="1" applyFont="1"/>
    <xf numFmtId="0" fontId="4" fillId="0" borderId="6" xfId="0" applyFont="1" applyBorder="1"/>
    <xf numFmtId="165" fontId="4" fillId="0" borderId="0" xfId="0" applyNumberFormat="1" applyFont="1"/>
    <xf numFmtId="0" fontId="5" fillId="0" borderId="6" xfId="0" applyFont="1" applyBorder="1"/>
    <xf numFmtId="14" fontId="4" fillId="0" borderId="7" xfId="0" applyNumberFormat="1" applyFont="1" applyBorder="1"/>
    <xf numFmtId="164" fontId="4" fillId="0" borderId="6" xfId="0" applyNumberFormat="1" applyFont="1" applyBorder="1"/>
    <xf numFmtId="0" fontId="4" fillId="0" borderId="7" xfId="0" applyFont="1" applyBorder="1"/>
    <xf numFmtId="165" fontId="4" fillId="0" borderId="6" xfId="0" applyNumberFormat="1" applyFont="1" applyBorder="1"/>
    <xf numFmtId="0" fontId="7" fillId="0" borderId="7" xfId="0" applyFont="1" applyBorder="1"/>
    <xf numFmtId="0" fontId="5" fillId="0" borderId="7" xfId="0" applyFont="1" applyBorder="1"/>
    <xf numFmtId="164" fontId="4" fillId="0" borderId="7" xfId="0" applyNumberFormat="1" applyFont="1" applyBorder="1"/>
    <xf numFmtId="165" fontId="4" fillId="0" borderId="7" xfId="0" applyNumberFormat="1" applyFont="1" applyBorder="1"/>
    <xf numFmtId="0" fontId="8" fillId="0" borderId="6" xfId="0" applyFont="1" applyBorder="1" applyAlignment="1">
      <alignment vertical="center"/>
    </xf>
    <xf numFmtId="0" fontId="8" fillId="4" borderId="4" xfId="0" applyFont="1" applyFill="1" applyBorder="1" applyAlignment="1">
      <alignment vertical="center"/>
    </xf>
    <xf numFmtId="0" fontId="6" fillId="0" borderId="6" xfId="0" applyFont="1" applyBorder="1"/>
    <xf numFmtId="3" fontId="5" fillId="0" borderId="6" xfId="0" applyNumberFormat="1" applyFont="1" applyBorder="1"/>
    <xf numFmtId="0" fontId="8" fillId="4" borderId="3" xfId="0" applyFont="1" applyFill="1" applyBorder="1" applyAlignment="1">
      <alignment vertical="center"/>
    </xf>
    <xf numFmtId="0" fontId="4" fillId="0" borderId="8" xfId="0" applyFont="1" applyBorder="1"/>
    <xf numFmtId="14" fontId="4" fillId="4" borderId="9" xfId="0" applyNumberFormat="1" applyFont="1" applyFill="1" applyBorder="1"/>
    <xf numFmtId="0" fontId="4" fillId="4" borderId="9" xfId="0" applyFont="1" applyFill="1" applyBorder="1"/>
    <xf numFmtId="0" fontId="7" fillId="4" borderId="9" xfId="0" applyFont="1" applyFill="1" applyBorder="1"/>
    <xf numFmtId="0" fontId="5" fillId="4" borderId="9" xfId="0" applyFont="1" applyFill="1" applyBorder="1"/>
    <xf numFmtId="164" fontId="4" fillId="4" borderId="9" xfId="0" applyNumberFormat="1" applyFont="1" applyFill="1" applyBorder="1"/>
    <xf numFmtId="165" fontId="4" fillId="4" borderId="9" xfId="0" applyNumberFormat="1" applyFont="1" applyFill="1" applyBorder="1"/>
    <xf numFmtId="0" fontId="6" fillId="0" borderId="0" xfId="0" applyFont="1"/>
    <xf numFmtId="3" fontId="5" fillId="0" borderId="0" xfId="0" applyNumberFormat="1" applyFont="1"/>
    <xf numFmtId="0" fontId="7" fillId="4" borderId="4" xfId="0" applyFont="1" applyFill="1" applyBorder="1"/>
    <xf numFmtId="0" fontId="7" fillId="4" borderId="3" xfId="0" applyFont="1" applyFill="1" applyBorder="1"/>
    <xf numFmtId="14" fontId="4" fillId="0" borderId="10" xfId="0" applyNumberFormat="1" applyFont="1" applyBorder="1"/>
    <xf numFmtId="14" fontId="4" fillId="4" borderId="11" xfId="0" applyNumberFormat="1" applyFont="1" applyFill="1" applyBorder="1"/>
    <xf numFmtId="0" fontId="4" fillId="0" borderId="10" xfId="0" applyFont="1" applyBorder="1"/>
    <xf numFmtId="0" fontId="4" fillId="4" borderId="11" xfId="0" applyFont="1" applyFill="1" applyBorder="1"/>
    <xf numFmtId="3" fontId="5" fillId="0" borderId="10" xfId="0" applyNumberFormat="1" applyFont="1" applyBorder="1"/>
    <xf numFmtId="0" fontId="8" fillId="4" borderId="11" xfId="0" applyFont="1" applyFill="1" applyBorder="1"/>
    <xf numFmtId="164" fontId="4" fillId="0" borderId="10" xfId="0" applyNumberFormat="1" applyFont="1" applyBorder="1"/>
    <xf numFmtId="0" fontId="9" fillId="4" borderId="11" xfId="0" applyFont="1" applyFill="1" applyBorder="1"/>
    <xf numFmtId="165" fontId="4" fillId="0" borderId="10" xfId="0" applyNumberFormat="1" applyFont="1" applyBorder="1"/>
    <xf numFmtId="164" fontId="10" fillId="4" borderId="11" xfId="0" applyNumberFormat="1" applyFont="1" applyFill="1" applyBorder="1"/>
    <xf numFmtId="165" fontId="4" fillId="4" borderId="11" xfId="0" applyNumberFormat="1" applyFont="1" applyFill="1" applyBorder="1"/>
    <xf numFmtId="0" fontId="11" fillId="0" borderId="0" xfId="0" applyFont="1"/>
    <xf numFmtId="0" fontId="8" fillId="0" borderId="6" xfId="0" applyFont="1" applyBorder="1"/>
    <xf numFmtId="0" fontId="9" fillId="0" borderId="6" xfId="0" applyFont="1" applyBorder="1"/>
    <xf numFmtId="164" fontId="10" fillId="0" borderId="6" xfId="0" applyNumberFormat="1" applyFont="1" applyBorder="1"/>
    <xf numFmtId="3" fontId="5" fillId="4" borderId="1" xfId="0" applyNumberFormat="1" applyFont="1" applyFill="1" applyBorder="1"/>
    <xf numFmtId="0" fontId="8" fillId="4" borderId="4" xfId="0" applyFont="1" applyFill="1" applyBorder="1"/>
    <xf numFmtId="0" fontId="9" fillId="4" borderId="4" xfId="0" applyFont="1" applyFill="1" applyBorder="1"/>
    <xf numFmtId="164" fontId="10" fillId="4" borderId="4" xfId="0" applyNumberFormat="1" applyFont="1" applyFill="1" applyBorder="1"/>
    <xf numFmtId="0" fontId="8" fillId="4" borderId="3" xfId="0" applyFont="1" applyFill="1" applyBorder="1"/>
    <xf numFmtId="0" fontId="9" fillId="4" borderId="3" xfId="0" applyFont="1" applyFill="1" applyBorder="1"/>
    <xf numFmtId="164" fontId="10" fillId="4" borderId="3" xfId="0" applyNumberFormat="1" applyFont="1" applyFill="1" applyBorder="1"/>
    <xf numFmtId="14" fontId="4" fillId="6" borderId="4" xfId="0" applyNumberFormat="1" applyFont="1" applyFill="1" applyBorder="1"/>
    <xf numFmtId="0" fontId="4" fillId="6" borderId="4" xfId="0" applyFont="1" applyFill="1" applyBorder="1"/>
    <xf numFmtId="14" fontId="4" fillId="0" borderId="12" xfId="0" applyNumberFormat="1" applyFont="1" applyBorder="1"/>
    <xf numFmtId="0" fontId="4" fillId="0" borderId="12" xfId="0" applyFont="1" applyBorder="1"/>
    <xf numFmtId="0" fontId="8" fillId="0" borderId="12" xfId="0" applyFont="1" applyBorder="1"/>
    <xf numFmtId="0" fontId="6" fillId="6" borderId="4" xfId="0" applyFont="1" applyFill="1" applyBorder="1"/>
    <xf numFmtId="0" fontId="9" fillId="0" borderId="12" xfId="0" applyFont="1" applyBorder="1"/>
    <xf numFmtId="3" fontId="5" fillId="6" borderId="4" xfId="0" applyNumberFormat="1" applyFont="1" applyFill="1" applyBorder="1"/>
    <xf numFmtId="164" fontId="4" fillId="6" borderId="4" xfId="0" applyNumberFormat="1" applyFont="1" applyFill="1" applyBorder="1"/>
    <xf numFmtId="164" fontId="10" fillId="0" borderId="12" xfId="0" applyNumberFormat="1" applyFont="1" applyBorder="1"/>
    <xf numFmtId="165" fontId="4" fillId="6" borderId="4" xfId="0" applyNumberFormat="1" applyFont="1" applyFill="1" applyBorder="1"/>
    <xf numFmtId="165" fontId="4" fillId="0" borderId="12" xfId="0" applyNumberFormat="1" applyFont="1" applyBorder="1"/>
    <xf numFmtId="14" fontId="4" fillId="4" borderId="13" xfId="0" applyNumberFormat="1" applyFont="1" applyFill="1" applyBorder="1"/>
    <xf numFmtId="0" fontId="4" fillId="4" borderId="13" xfId="0" applyFont="1" applyFill="1" applyBorder="1"/>
    <xf numFmtId="0" fontId="8" fillId="4" borderId="13" xfId="0" applyFont="1" applyFill="1" applyBorder="1"/>
    <xf numFmtId="0" fontId="9" fillId="4" borderId="13" xfId="0" applyFont="1" applyFill="1" applyBorder="1"/>
    <xf numFmtId="164" fontId="10" fillId="4" borderId="13" xfId="0" applyNumberFormat="1" applyFont="1" applyFill="1" applyBorder="1"/>
    <xf numFmtId="0" fontId="11" fillId="6" borderId="4" xfId="0" applyFont="1" applyFill="1" applyBorder="1"/>
    <xf numFmtId="165" fontId="4" fillId="4" borderId="13" xfId="0" applyNumberFormat="1" applyFont="1" applyFill="1" applyBorder="1"/>
    <xf numFmtId="0" fontId="8" fillId="0" borderId="0" xfId="0" applyFont="1"/>
    <xf numFmtId="0" fontId="9" fillId="0" borderId="0" xfId="0" applyFont="1"/>
    <xf numFmtId="166" fontId="12" fillId="0" borderId="0" xfId="0" applyNumberFormat="1" applyFont="1"/>
    <xf numFmtId="3" fontId="5" fillId="4" borderId="3" xfId="0" applyNumberFormat="1" applyFont="1" applyFill="1" applyBorder="1"/>
    <xf numFmtId="0" fontId="8" fillId="0" borderId="2" xfId="0" applyFont="1" applyBorder="1"/>
    <xf numFmtId="0" fontId="9" fillId="0" borderId="2" xfId="0" applyFont="1" applyBorder="1"/>
    <xf numFmtId="166" fontId="12" fillId="0" borderId="2" xfId="0" applyNumberFormat="1" applyFont="1" applyBorder="1"/>
    <xf numFmtId="3" fontId="5" fillId="0" borderId="7" xfId="0" applyNumberFormat="1" applyFont="1" applyBorder="1"/>
    <xf numFmtId="167" fontId="5" fillId="0" borderId="7" xfId="0" applyNumberFormat="1" applyFont="1" applyBorder="1"/>
    <xf numFmtId="0" fontId="6" fillId="4" borderId="11" xfId="0" applyFont="1" applyFill="1" applyBorder="1"/>
    <xf numFmtId="14" fontId="4" fillId="0" borderId="14" xfId="0" applyNumberFormat="1" applyFont="1" applyBorder="1"/>
    <xf numFmtId="0" fontId="4" fillId="0" borderId="14" xfId="0" applyFont="1" applyBorder="1"/>
    <xf numFmtId="0" fontId="8" fillId="0" borderId="14" xfId="0" applyFont="1" applyBorder="1"/>
    <xf numFmtId="0" fontId="9" fillId="0" borderId="14" xfId="0" applyFont="1" applyBorder="1"/>
    <xf numFmtId="166" fontId="12" fillId="0" borderId="14" xfId="0" applyNumberFormat="1" applyFont="1" applyBorder="1"/>
    <xf numFmtId="165" fontId="4" fillId="0" borderId="14" xfId="0" applyNumberFormat="1" applyFont="1" applyBorder="1"/>
    <xf numFmtId="14" fontId="4" fillId="2" borderId="4" xfId="0" applyNumberFormat="1" applyFont="1" applyFill="1" applyBorder="1"/>
    <xf numFmtId="166" fontId="12" fillId="0" borderId="6" xfId="0" applyNumberFormat="1" applyFont="1" applyBorder="1"/>
    <xf numFmtId="14" fontId="4" fillId="0" borderId="15" xfId="0" applyNumberFormat="1" applyFont="1" applyBorder="1"/>
    <xf numFmtId="14" fontId="4" fillId="2" borderId="3" xfId="0" applyNumberFormat="1" applyFont="1" applyFill="1" applyBorder="1"/>
    <xf numFmtId="0" fontId="4" fillId="0" borderId="15" xfId="0" applyFont="1" applyBorder="1"/>
    <xf numFmtId="0" fontId="7" fillId="0" borderId="15" xfId="0" applyFont="1" applyBorder="1" applyAlignment="1">
      <alignment horizontal="left"/>
    </xf>
    <xf numFmtId="0" fontId="5" fillId="0" borderId="15" xfId="0" applyFont="1" applyBorder="1"/>
    <xf numFmtId="164" fontId="4" fillId="0" borderId="15" xfId="0" applyNumberFormat="1" applyFont="1" applyBorder="1"/>
    <xf numFmtId="165" fontId="4" fillId="0" borderId="15" xfId="0" applyNumberFormat="1" applyFont="1" applyBorder="1"/>
    <xf numFmtId="14" fontId="4" fillId="0" borderId="16" xfId="0" applyNumberFormat="1" applyFont="1" applyBorder="1"/>
    <xf numFmtId="0" fontId="4" fillId="0" borderId="16" xfId="0" applyFont="1" applyBorder="1"/>
    <xf numFmtId="0" fontId="7" fillId="0" borderId="16" xfId="0" applyFont="1" applyBorder="1"/>
    <xf numFmtId="0" fontId="5" fillId="0" borderId="16" xfId="0" applyFont="1" applyBorder="1"/>
    <xf numFmtId="164" fontId="4" fillId="0" borderId="16" xfId="0" applyNumberFormat="1" applyFont="1" applyBorder="1"/>
    <xf numFmtId="165" fontId="4" fillId="0" borderId="16" xfId="0" applyNumberFormat="1" applyFont="1" applyBorder="1"/>
    <xf numFmtId="0" fontId="7" fillId="7" borderId="1" xfId="0" applyFont="1" applyFill="1" applyBorder="1" applyAlignment="1">
      <alignment vertical="center"/>
    </xf>
    <xf numFmtId="3" fontId="5" fillId="4" borderId="4" xfId="0" applyNumberFormat="1" applyFont="1" applyFill="1" applyBorder="1"/>
    <xf numFmtId="168" fontId="4" fillId="0" borderId="6" xfId="0" applyNumberFormat="1" applyFont="1" applyBorder="1"/>
    <xf numFmtId="14" fontId="4" fillId="0" borderId="17" xfId="0" applyNumberFormat="1" applyFont="1" applyBorder="1"/>
    <xf numFmtId="0" fontId="4" fillId="0" borderId="17" xfId="0" applyFont="1" applyBorder="1"/>
    <xf numFmtId="0" fontId="13" fillId="7" borderId="18" xfId="0" applyFont="1" applyFill="1" applyBorder="1" applyAlignment="1">
      <alignment vertical="center"/>
    </xf>
    <xf numFmtId="0" fontId="5" fillId="0" borderId="17" xfId="0" applyFont="1" applyBorder="1"/>
    <xf numFmtId="164" fontId="4" fillId="0" borderId="17" xfId="0" applyNumberFormat="1" applyFont="1" applyBorder="1"/>
    <xf numFmtId="165" fontId="4" fillId="0" borderId="17" xfId="0" applyNumberFormat="1" applyFont="1" applyBorder="1"/>
    <xf numFmtId="0" fontId="6" fillId="4" borderId="1" xfId="0" applyFont="1" applyFill="1" applyBorder="1"/>
    <xf numFmtId="14" fontId="11" fillId="0" borderId="2" xfId="0" applyNumberFormat="1" applyFont="1" applyBorder="1"/>
    <xf numFmtId="14" fontId="11" fillId="4" borderId="4" xfId="0" applyNumberFormat="1" applyFont="1" applyFill="1" applyBorder="1"/>
    <xf numFmtId="14" fontId="11" fillId="4" borderId="3" xfId="0" applyNumberFormat="1" applyFont="1" applyFill="1" applyBorder="1"/>
    <xf numFmtId="14" fontId="4" fillId="4" borderId="18" xfId="0" applyNumberFormat="1" applyFont="1" applyFill="1" applyBorder="1"/>
    <xf numFmtId="0" fontId="5" fillId="4" borderId="13" xfId="0" applyFont="1" applyFill="1" applyBorder="1"/>
    <xf numFmtId="164" fontId="4" fillId="4" borderId="13" xfId="0" applyNumberFormat="1" applyFont="1" applyFill="1" applyBorder="1"/>
    <xf numFmtId="0" fontId="5" fillId="0" borderId="8" xfId="0" applyFont="1" applyBorder="1"/>
    <xf numFmtId="165" fontId="4" fillId="0" borderId="8" xfId="0" applyNumberFormat="1" applyFont="1" applyBorder="1"/>
    <xf numFmtId="14" fontId="4" fillId="0" borderId="19" xfId="0" applyNumberFormat="1" applyFont="1" applyBorder="1"/>
    <xf numFmtId="0" fontId="4" fillId="0" borderId="19" xfId="0" applyFont="1" applyBorder="1"/>
    <xf numFmtId="0" fontId="6" fillId="0" borderId="19" xfId="0" applyFont="1" applyBorder="1" applyAlignment="1">
      <alignment horizontal="left"/>
    </xf>
    <xf numFmtId="0" fontId="5" fillId="0" borderId="19" xfId="0" applyFont="1" applyBorder="1"/>
    <xf numFmtId="164" fontId="4" fillId="0" borderId="19" xfId="0" applyNumberFormat="1" applyFont="1" applyBorder="1"/>
    <xf numFmtId="165" fontId="4" fillId="0" borderId="19" xfId="0" applyNumberFormat="1" applyFont="1" applyBorder="1"/>
    <xf numFmtId="0" fontId="6" fillId="4" borderId="13" xfId="0" applyFont="1" applyFill="1" applyBorder="1" applyAlignment="1">
      <alignment horizontal="left"/>
    </xf>
    <xf numFmtId="4" fontId="4" fillId="0" borderId="8" xfId="0" applyNumberFormat="1" applyFont="1" applyBorder="1"/>
    <xf numFmtId="14" fontId="4" fillId="0" borderId="20" xfId="0" applyNumberFormat="1" applyFont="1" applyBorder="1"/>
    <xf numFmtId="0" fontId="4" fillId="0" borderId="20" xfId="0" applyFont="1" applyBorder="1"/>
    <xf numFmtId="0" fontId="6" fillId="0" borderId="21" xfId="0" applyFont="1" applyBorder="1"/>
    <xf numFmtId="0" fontId="5" fillId="0" borderId="20" xfId="0" applyFont="1" applyBorder="1"/>
    <xf numFmtId="164" fontId="4" fillId="0" borderId="20" xfId="0" applyNumberFormat="1" applyFont="1" applyBorder="1"/>
    <xf numFmtId="165" fontId="4" fillId="0" borderId="20" xfId="0" applyNumberFormat="1" applyFont="1" applyBorder="1"/>
    <xf numFmtId="0" fontId="4" fillId="4" borderId="22" xfId="0" applyFont="1" applyFill="1" applyBorder="1"/>
    <xf numFmtId="0" fontId="6" fillId="4" borderId="23" xfId="0" applyFont="1" applyFill="1" applyBorder="1"/>
    <xf numFmtId="0" fontId="5" fillId="4" borderId="22" xfId="0" applyFont="1" applyFill="1" applyBorder="1"/>
    <xf numFmtId="164" fontId="4" fillId="4" borderId="22" xfId="0" applyNumberFormat="1" applyFont="1" applyFill="1" applyBorder="1"/>
    <xf numFmtId="165" fontId="4" fillId="4" borderId="22" xfId="0" applyNumberFormat="1" applyFont="1" applyFill="1" applyBorder="1"/>
    <xf numFmtId="14" fontId="4" fillId="4" borderId="22" xfId="0" applyNumberFormat="1" applyFont="1" applyFill="1" applyBorder="1"/>
    <xf numFmtId="14" fontId="4" fillId="0" borderId="16" xfId="0" applyNumberFormat="1" applyFont="1" applyBorder="1" applyAlignment="1">
      <alignment horizontal="right"/>
    </xf>
    <xf numFmtId="0" fontId="4" fillId="4" borderId="23" xfId="0" applyFont="1" applyFill="1" applyBorder="1"/>
    <xf numFmtId="0" fontId="5" fillId="4" borderId="23" xfId="0" applyFont="1" applyFill="1" applyBorder="1"/>
    <xf numFmtId="164" fontId="4" fillId="4" borderId="23" xfId="0" applyNumberFormat="1" applyFont="1" applyFill="1" applyBorder="1"/>
    <xf numFmtId="165" fontId="4" fillId="4" borderId="23" xfId="0" applyNumberFormat="1" applyFont="1" applyFill="1" applyBorder="1"/>
    <xf numFmtId="14" fontId="4" fillId="4" borderId="23" xfId="0" applyNumberFormat="1" applyFont="1" applyFill="1" applyBorder="1"/>
    <xf numFmtId="14" fontId="11" fillId="4" borderId="23" xfId="0" applyNumberFormat="1" applyFont="1" applyFill="1" applyBorder="1"/>
    <xf numFmtId="14" fontId="11" fillId="0" borderId="0" xfId="0" applyNumberFormat="1" applyFont="1"/>
    <xf numFmtId="14" fontId="4" fillId="0" borderId="8" xfId="0" applyNumberFormat="1" applyFont="1" applyBorder="1"/>
    <xf numFmtId="0" fontId="6" fillId="0" borderId="8" xfId="0" applyFont="1" applyBorder="1"/>
    <xf numFmtId="164" fontId="4" fillId="0" borderId="8" xfId="0" applyNumberFormat="1" applyFont="1" applyBorder="1"/>
    <xf numFmtId="14" fontId="11" fillId="0" borderId="8" xfId="0" applyNumberFormat="1" applyFont="1" applyBorder="1"/>
    <xf numFmtId="0" fontId="14" fillId="4" borderId="4" xfId="0" applyFont="1" applyFill="1" applyBorder="1"/>
    <xf numFmtId="0" fontId="14" fillId="4" borderId="13" xfId="0" applyFont="1" applyFill="1" applyBorder="1"/>
    <xf numFmtId="3" fontId="5" fillId="4" borderId="13" xfId="0" applyNumberFormat="1" applyFont="1" applyFill="1" applyBorder="1"/>
    <xf numFmtId="0" fontId="6" fillId="4" borderId="24" xfId="0" applyFont="1" applyFill="1" applyBorder="1" applyAlignment="1">
      <alignment horizontal="left" vertical="center"/>
    </xf>
    <xf numFmtId="0" fontId="7" fillId="0" borderId="6" xfId="0" applyFont="1" applyBorder="1"/>
    <xf numFmtId="0" fontId="7" fillId="5" borderId="23" xfId="0" applyFont="1" applyFill="1" applyBorder="1"/>
    <xf numFmtId="0" fontId="7" fillId="0" borderId="2" xfId="0" applyFont="1" applyBorder="1"/>
    <xf numFmtId="0" fontId="15" fillId="0" borderId="0" xfId="0" applyFont="1"/>
    <xf numFmtId="0" fontId="7" fillId="5" borderId="3" xfId="0" applyFont="1" applyFill="1" applyBorder="1"/>
    <xf numFmtId="164" fontId="10" fillId="7" borderId="4" xfId="0" applyNumberFormat="1" applyFont="1" applyFill="1" applyBorder="1" applyAlignment="1">
      <alignment horizontal="right" vertical="center"/>
    </xf>
    <xf numFmtId="0" fontId="7" fillId="5" borderId="11" xfId="0" applyFont="1" applyFill="1" applyBorder="1"/>
    <xf numFmtId="0" fontId="5" fillId="4" borderId="11" xfId="0" applyFont="1" applyFill="1" applyBorder="1"/>
    <xf numFmtId="164" fontId="4" fillId="4" borderId="11" xfId="0" applyNumberFormat="1" applyFont="1" applyFill="1" applyBorder="1"/>
    <xf numFmtId="0" fontId="8" fillId="4" borderId="1" xfId="0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 wrapText="1"/>
    </xf>
    <xf numFmtId="164" fontId="10" fillId="0" borderId="0" xfId="0" applyNumberFormat="1" applyFont="1" applyAlignment="1">
      <alignment vertical="center" wrapText="1"/>
    </xf>
    <xf numFmtId="165" fontId="10" fillId="0" borderId="0" xfId="0" applyNumberFormat="1" applyFont="1" applyAlignment="1">
      <alignment vertical="center" wrapText="1"/>
    </xf>
    <xf numFmtId="0" fontId="8" fillId="0" borderId="2" xfId="0" applyFont="1" applyBorder="1" applyAlignment="1">
      <alignment vertical="center"/>
    </xf>
    <xf numFmtId="164" fontId="10" fillId="0" borderId="2" xfId="0" applyNumberFormat="1" applyFont="1" applyBorder="1" applyAlignment="1">
      <alignment vertical="center" wrapText="1"/>
    </xf>
    <xf numFmtId="165" fontId="10" fillId="0" borderId="2" xfId="0" applyNumberFormat="1" applyFont="1" applyBorder="1" applyAlignment="1">
      <alignment vertical="center" wrapText="1"/>
    </xf>
    <xf numFmtId="0" fontId="8" fillId="4" borderId="22" xfId="0" applyFont="1" applyFill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16" fillId="0" borderId="6" xfId="0" applyFont="1" applyBorder="1"/>
    <xf numFmtId="0" fontId="8" fillId="0" borderId="17" xfId="0" applyFont="1" applyBorder="1" applyAlignment="1">
      <alignment vertical="center"/>
    </xf>
    <xf numFmtId="0" fontId="7" fillId="4" borderId="11" xfId="0" applyFont="1" applyFill="1" applyBorder="1"/>
    <xf numFmtId="0" fontId="7" fillId="0" borderId="2" xfId="0" applyFont="1" applyBorder="1" applyAlignment="1">
      <alignment vertical="center"/>
    </xf>
    <xf numFmtId="0" fontId="12" fillId="4" borderId="11" xfId="0" applyFont="1" applyFill="1" applyBorder="1"/>
    <xf numFmtId="0" fontId="12" fillId="0" borderId="6" xfId="0" applyFont="1" applyBorder="1"/>
    <xf numFmtId="0" fontId="12" fillId="4" borderId="4" xfId="0" applyFont="1" applyFill="1" applyBorder="1"/>
    <xf numFmtId="0" fontId="12" fillId="0" borderId="12" xfId="0" applyFont="1" applyBorder="1" applyAlignment="1">
      <alignment horizontal="left"/>
    </xf>
    <xf numFmtId="14" fontId="4" fillId="4" borderId="25" xfId="0" applyNumberFormat="1" applyFont="1" applyFill="1" applyBorder="1"/>
    <xf numFmtId="0" fontId="4" fillId="4" borderId="25" xfId="0" applyFont="1" applyFill="1" applyBorder="1"/>
    <xf numFmtId="0" fontId="12" fillId="4" borderId="25" xfId="0" applyFont="1" applyFill="1" applyBorder="1"/>
    <xf numFmtId="0" fontId="8" fillId="4" borderId="25" xfId="0" applyFont="1" applyFill="1" applyBorder="1"/>
    <xf numFmtId="0" fontId="9" fillId="4" borderId="25" xfId="0" applyFont="1" applyFill="1" applyBorder="1"/>
    <xf numFmtId="164" fontId="10" fillId="4" borderId="25" xfId="0" applyNumberFormat="1" applyFont="1" applyFill="1" applyBorder="1"/>
    <xf numFmtId="165" fontId="4" fillId="4" borderId="25" xfId="0" applyNumberFormat="1" applyFont="1" applyFill="1" applyBorder="1"/>
    <xf numFmtId="0" fontId="12" fillId="0" borderId="2" xfId="0" applyFont="1" applyBorder="1"/>
    <xf numFmtId="164" fontId="10" fillId="0" borderId="2" xfId="0" applyNumberFormat="1" applyFont="1" applyBorder="1"/>
    <xf numFmtId="4" fontId="4" fillId="0" borderId="0" xfId="0" applyNumberFormat="1" applyFont="1"/>
    <xf numFmtId="0" fontId="4" fillId="0" borderId="0" xfId="0" applyFont="1" applyAlignment="1"/>
    <xf numFmtId="0" fontId="4" fillId="0" borderId="2" xfId="0" applyFont="1" applyBorder="1" applyAlignment="1"/>
    <xf numFmtId="0" fontId="12" fillId="0" borderId="0" xfId="0" applyFont="1"/>
    <xf numFmtId="14" fontId="4" fillId="0" borderId="0" xfId="0" applyNumberFormat="1" applyFont="1" applyAlignment="1"/>
    <xf numFmtId="0" fontId="15" fillId="0" borderId="0" xfId="0" applyFont="1" applyAlignment="1"/>
    <xf numFmtId="14" fontId="4" fillId="0" borderId="0" xfId="0" applyNumberFormat="1" applyFont="1" applyAlignment="1"/>
    <xf numFmtId="14" fontId="4" fillId="0" borderId="2" xfId="0" applyNumberFormat="1" applyFont="1" applyBorder="1" applyAlignment="1"/>
    <xf numFmtId="0" fontId="12" fillId="0" borderId="14" xfId="0" applyFont="1" applyBorder="1"/>
    <xf numFmtId="0" fontId="4" fillId="0" borderId="14" xfId="0" applyFont="1" applyBorder="1" applyAlignment="1"/>
    <xf numFmtId="0" fontId="4" fillId="0" borderId="6" xfId="0" applyFont="1" applyBorder="1" applyAlignment="1"/>
    <xf numFmtId="0" fontId="12" fillId="0" borderId="15" xfId="0" applyFont="1" applyBorder="1"/>
    <xf numFmtId="0" fontId="12" fillId="0" borderId="17" xfId="0" applyFont="1" applyBorder="1"/>
    <xf numFmtId="0" fontId="6" fillId="0" borderId="0" xfId="0" applyFont="1" applyAlignment="1">
      <alignment horizontal="left"/>
    </xf>
    <xf numFmtId="0" fontId="2" fillId="0" borderId="0" xfId="0" applyFont="1" applyAlignment="1"/>
    <xf numFmtId="0" fontId="4" fillId="0" borderId="26" xfId="0" applyFont="1" applyBorder="1"/>
    <xf numFmtId="0" fontId="1" fillId="0" borderId="0" xfId="0" applyFont="1" applyAlignment="1"/>
    <xf numFmtId="0" fontId="12" fillId="0" borderId="4" xfId="0" applyFont="1" applyFill="1" applyBorder="1" applyAlignment="1"/>
    <xf numFmtId="14" fontId="4" fillId="0" borderId="13" xfId="0" applyNumberFormat="1" applyFont="1" applyBorder="1"/>
    <xf numFmtId="0" fontId="0" fillId="0" borderId="13" xfId="0" applyFont="1" applyBorder="1" applyAlignment="1"/>
    <xf numFmtId="0" fontId="6" fillId="0" borderId="13" xfId="0" applyFont="1" applyBorder="1" applyAlignment="1">
      <alignment horizontal="left"/>
    </xf>
    <xf numFmtId="0" fontId="5" fillId="0" borderId="13" xfId="0" applyFont="1" applyBorder="1"/>
    <xf numFmtId="164" fontId="4" fillId="0" borderId="13" xfId="0" applyNumberFormat="1" applyFont="1" applyBorder="1"/>
    <xf numFmtId="165" fontId="4" fillId="0" borderId="13" xfId="0" applyNumberFormat="1" applyFont="1" applyBorder="1"/>
    <xf numFmtId="0" fontId="4" fillId="0" borderId="13" xfId="0" applyFont="1" applyBorder="1"/>
    <xf numFmtId="4" fontId="0" fillId="0" borderId="13" xfId="0" applyNumberFormat="1" applyFont="1" applyBorder="1" applyAlignment="1"/>
    <xf numFmtId="0" fontId="1" fillId="0" borderId="13" xfId="0" applyFont="1" applyBorder="1" applyAlignment="1"/>
    <xf numFmtId="0" fontId="3" fillId="0" borderId="0" xfId="0" applyFont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1000"/>
  <sheetViews>
    <sheetView tabSelected="1" topLeftCell="E16" workbookViewId="0">
      <selection activeCell="Q31" sqref="Q31"/>
    </sheetView>
  </sheetViews>
  <sheetFormatPr defaultColWidth="14.42578125" defaultRowHeight="15" customHeight="1"/>
  <cols>
    <col min="1" max="1" width="11.7109375" customWidth="1"/>
    <col min="2" max="2" width="13.140625" customWidth="1"/>
    <col min="3" max="3" width="18.28515625" customWidth="1"/>
    <col min="4" max="4" width="13.28515625" customWidth="1"/>
    <col min="5" max="5" width="30.7109375" customWidth="1"/>
    <col min="6" max="6" width="11.140625" customWidth="1"/>
    <col min="7" max="7" width="12.7109375" customWidth="1"/>
    <col min="8" max="9" width="11.7109375" customWidth="1"/>
    <col min="10" max="10" width="10.5703125" customWidth="1"/>
    <col min="11" max="11" width="12.140625" customWidth="1"/>
    <col min="12" max="12" width="8.7109375" customWidth="1"/>
    <col min="13" max="13" width="12.7109375" customWidth="1"/>
    <col min="14" max="14" width="8.7109375" customWidth="1"/>
    <col min="15" max="17" width="12.7109375" customWidth="1"/>
    <col min="18" max="18" width="8.7109375" customWidth="1"/>
  </cols>
  <sheetData>
    <row r="1" spans="1:12" ht="18.75">
      <c r="A1" s="269" t="s">
        <v>0</v>
      </c>
      <c r="B1" s="270"/>
      <c r="C1" s="270"/>
      <c r="D1" s="270"/>
      <c r="E1" s="270"/>
      <c r="F1" s="270"/>
      <c r="G1" s="270"/>
      <c r="H1" s="270"/>
      <c r="I1" s="270"/>
      <c r="J1" s="270"/>
      <c r="K1" s="270"/>
      <c r="L1" s="270"/>
    </row>
    <row r="2" spans="1:12" ht="45">
      <c r="A2" s="2" t="s">
        <v>1</v>
      </c>
      <c r="B2" s="3" t="s">
        <v>2</v>
      </c>
      <c r="C2" s="3" t="s">
        <v>3</v>
      </c>
      <c r="D2" s="3" t="s">
        <v>5</v>
      </c>
      <c r="E2" s="4" t="s">
        <v>4</v>
      </c>
      <c r="F2" s="3" t="s">
        <v>6</v>
      </c>
      <c r="G2" s="5" t="s">
        <v>7</v>
      </c>
      <c r="H2" s="6" t="s">
        <v>8</v>
      </c>
      <c r="I2" s="2" t="s">
        <v>9</v>
      </c>
      <c r="J2" s="3" t="s">
        <v>10</v>
      </c>
      <c r="K2" s="2" t="s">
        <v>11</v>
      </c>
      <c r="L2" s="3" t="s">
        <v>12</v>
      </c>
    </row>
    <row r="3" spans="1:12">
      <c r="A3" s="8">
        <v>46036</v>
      </c>
      <c r="B3" s="8" t="s">
        <v>14</v>
      </c>
      <c r="C3" s="10" t="s">
        <v>15</v>
      </c>
      <c r="D3" s="10" t="s">
        <v>17</v>
      </c>
      <c r="E3" s="12" t="s">
        <v>18</v>
      </c>
      <c r="F3" s="14">
        <v>7800</v>
      </c>
      <c r="G3" s="16">
        <v>7.1199999999999999E-2</v>
      </c>
      <c r="H3" s="18">
        <v>555.36</v>
      </c>
      <c r="I3" s="8">
        <v>46048</v>
      </c>
      <c r="J3" s="10">
        <v>258</v>
      </c>
      <c r="K3" s="8">
        <v>46056</v>
      </c>
      <c r="L3" s="10">
        <v>141187</v>
      </c>
    </row>
    <row r="4" spans="1:12">
      <c r="A4" s="22">
        <v>46036</v>
      </c>
      <c r="B4" s="22" t="s">
        <v>14</v>
      </c>
      <c r="C4" s="24" t="s">
        <v>21</v>
      </c>
      <c r="D4" s="24" t="s">
        <v>22</v>
      </c>
      <c r="E4" s="25" t="s">
        <v>23</v>
      </c>
      <c r="F4" s="26">
        <v>200</v>
      </c>
      <c r="G4" s="28">
        <v>0.69</v>
      </c>
      <c r="H4" s="30">
        <v>138</v>
      </c>
      <c r="I4" s="22">
        <v>46048</v>
      </c>
      <c r="J4" s="24">
        <v>259</v>
      </c>
      <c r="K4" s="22">
        <v>46064</v>
      </c>
      <c r="L4" s="24">
        <v>364982</v>
      </c>
    </row>
    <row r="5" spans="1:12">
      <c r="A5" s="22"/>
      <c r="B5" s="22" t="s">
        <v>14</v>
      </c>
      <c r="C5" s="24"/>
      <c r="D5" s="24"/>
      <c r="E5" s="25" t="s">
        <v>26</v>
      </c>
      <c r="F5" s="26">
        <v>600</v>
      </c>
      <c r="G5" s="28">
        <v>1.1000000000000001</v>
      </c>
      <c r="H5" s="30">
        <v>660</v>
      </c>
      <c r="I5" s="22">
        <v>46048</v>
      </c>
      <c r="J5" s="24">
        <v>259</v>
      </c>
      <c r="K5" s="22">
        <v>46064</v>
      </c>
      <c r="L5" s="24">
        <v>364982</v>
      </c>
    </row>
    <row r="6" spans="1:12">
      <c r="A6" s="22"/>
      <c r="B6" s="22" t="s">
        <v>14</v>
      </c>
      <c r="C6" s="24"/>
      <c r="D6" s="24"/>
      <c r="E6" s="25" t="s">
        <v>31</v>
      </c>
      <c r="F6" s="26">
        <v>800</v>
      </c>
      <c r="G6" s="28">
        <v>0.68</v>
      </c>
      <c r="H6" s="30">
        <v>544</v>
      </c>
      <c r="I6" s="22">
        <v>46048</v>
      </c>
      <c r="J6" s="24">
        <v>259</v>
      </c>
      <c r="K6" s="22">
        <v>46064</v>
      </c>
      <c r="L6" s="24">
        <v>364982</v>
      </c>
    </row>
    <row r="7" spans="1:12">
      <c r="A7" s="22"/>
      <c r="B7" s="22" t="s">
        <v>14</v>
      </c>
      <c r="C7" s="24"/>
      <c r="D7" s="24"/>
      <c r="E7" s="25" t="s">
        <v>33</v>
      </c>
      <c r="F7" s="26">
        <v>5</v>
      </c>
      <c r="G7" s="28">
        <v>15.9</v>
      </c>
      <c r="H7" s="30">
        <v>79.5</v>
      </c>
      <c r="I7" s="22">
        <v>46048</v>
      </c>
      <c r="J7" s="24">
        <v>259</v>
      </c>
      <c r="K7" s="22">
        <v>46064</v>
      </c>
      <c r="L7" s="24">
        <v>364982</v>
      </c>
    </row>
    <row r="8" spans="1:12">
      <c r="A8" s="43"/>
      <c r="B8" s="43" t="s">
        <v>14</v>
      </c>
      <c r="C8" s="44"/>
      <c r="D8" s="44"/>
      <c r="E8" s="46" t="s">
        <v>36</v>
      </c>
      <c r="F8" s="47">
        <v>400</v>
      </c>
      <c r="G8" s="48">
        <v>0.88</v>
      </c>
      <c r="H8" s="49">
        <v>352</v>
      </c>
      <c r="I8" s="43">
        <v>46048</v>
      </c>
      <c r="J8" s="44">
        <v>259</v>
      </c>
      <c r="K8" s="22">
        <v>46064</v>
      </c>
      <c r="L8" s="24">
        <v>364982</v>
      </c>
    </row>
    <row r="9" spans="1:12">
      <c r="A9" s="50">
        <v>46036</v>
      </c>
      <c r="B9" s="8" t="s">
        <v>14</v>
      </c>
      <c r="C9" s="53" t="s">
        <v>38</v>
      </c>
      <c r="D9" s="53" t="s">
        <v>39</v>
      </c>
      <c r="E9" s="12" t="s">
        <v>40</v>
      </c>
      <c r="F9" s="55">
        <v>300</v>
      </c>
      <c r="G9" s="57">
        <v>6.41</v>
      </c>
      <c r="H9" s="59">
        <v>1923</v>
      </c>
      <c r="I9" s="50">
        <v>46048</v>
      </c>
      <c r="J9" s="53">
        <v>260</v>
      </c>
      <c r="K9" s="50">
        <v>46064</v>
      </c>
      <c r="L9" s="53">
        <v>1645</v>
      </c>
    </row>
    <row r="10" spans="1:12">
      <c r="A10" s="22">
        <v>46036</v>
      </c>
      <c r="B10" s="22" t="s">
        <v>14</v>
      </c>
      <c r="C10" s="24" t="s">
        <v>42</v>
      </c>
      <c r="D10" s="1" t="s">
        <v>43</v>
      </c>
      <c r="E10" s="25" t="s">
        <v>44</v>
      </c>
      <c r="F10" s="26">
        <v>10</v>
      </c>
      <c r="G10" s="28">
        <v>12.3</v>
      </c>
      <c r="H10" s="30">
        <v>120.3</v>
      </c>
      <c r="I10" s="22">
        <v>46048</v>
      </c>
      <c r="J10" s="24">
        <v>261</v>
      </c>
      <c r="K10" s="22">
        <v>46072</v>
      </c>
      <c r="L10" s="24">
        <v>1053758</v>
      </c>
    </row>
    <row r="11" spans="1:12">
      <c r="A11" s="43"/>
      <c r="B11" s="43" t="s">
        <v>14</v>
      </c>
      <c r="C11" s="44"/>
      <c r="D11" s="44"/>
      <c r="E11" s="46" t="s">
        <v>48</v>
      </c>
      <c r="F11" s="47">
        <v>200</v>
      </c>
      <c r="G11" s="48">
        <v>5.8</v>
      </c>
      <c r="H11" s="49">
        <v>1160</v>
      </c>
      <c r="I11" s="43">
        <v>46048</v>
      </c>
      <c r="J11" s="44">
        <v>261</v>
      </c>
      <c r="K11" s="43">
        <v>46072</v>
      </c>
      <c r="L11" s="44">
        <v>1053758</v>
      </c>
    </row>
    <row r="12" spans="1:12">
      <c r="A12" s="50">
        <v>46036</v>
      </c>
      <c r="B12" s="50" t="s">
        <v>14</v>
      </c>
      <c r="C12" s="53" t="s">
        <v>52</v>
      </c>
      <c r="D12" s="53" t="s">
        <v>54</v>
      </c>
      <c r="E12" s="66" t="s">
        <v>55</v>
      </c>
      <c r="F12" s="67">
        <v>6900</v>
      </c>
      <c r="G12" s="57">
        <v>0.1205</v>
      </c>
      <c r="H12" s="59">
        <v>831.45</v>
      </c>
      <c r="I12" s="8">
        <v>46048</v>
      </c>
      <c r="J12" s="53">
        <v>262</v>
      </c>
      <c r="K12" s="50">
        <v>46065</v>
      </c>
      <c r="L12" s="53">
        <v>378375</v>
      </c>
    </row>
    <row r="13" spans="1:12">
      <c r="A13" s="35">
        <v>46036</v>
      </c>
      <c r="B13" s="35" t="s">
        <v>14</v>
      </c>
      <c r="C13" s="36" t="s">
        <v>57</v>
      </c>
      <c r="D13" s="36" t="s">
        <v>58</v>
      </c>
      <c r="E13" s="46" t="s">
        <v>59</v>
      </c>
      <c r="F13" s="38">
        <v>300</v>
      </c>
      <c r="G13" s="39">
        <v>1.3117000000000001</v>
      </c>
      <c r="H13" s="40">
        <v>393.51</v>
      </c>
      <c r="I13" s="35">
        <v>46048</v>
      </c>
      <c r="J13" s="36">
        <v>263</v>
      </c>
      <c r="K13" s="35">
        <v>46056</v>
      </c>
      <c r="L13" s="36">
        <v>66037</v>
      </c>
    </row>
    <row r="14" spans="1:12">
      <c r="A14" s="32">
        <v>46036</v>
      </c>
      <c r="B14" s="32" t="s">
        <v>14</v>
      </c>
      <c r="C14" s="1" t="s">
        <v>62</v>
      </c>
      <c r="D14" s="1" t="s">
        <v>63</v>
      </c>
      <c r="E14" s="76" t="s">
        <v>64</v>
      </c>
      <c r="F14" s="77">
        <v>1000</v>
      </c>
      <c r="G14" s="52">
        <v>0.99990000000000001</v>
      </c>
      <c r="H14" s="54">
        <v>999.9</v>
      </c>
      <c r="I14" s="32">
        <v>46048</v>
      </c>
      <c r="J14" s="1">
        <v>264</v>
      </c>
      <c r="K14" s="32">
        <v>46059</v>
      </c>
      <c r="L14" s="1">
        <v>24251</v>
      </c>
    </row>
    <row r="15" spans="1:12">
      <c r="A15" s="8">
        <v>46036</v>
      </c>
      <c r="B15" s="8" t="s">
        <v>14</v>
      </c>
      <c r="C15" s="10"/>
      <c r="D15" s="10"/>
      <c r="E15" s="12" t="s">
        <v>68</v>
      </c>
      <c r="F15" s="14">
        <v>2000</v>
      </c>
      <c r="G15" s="16">
        <v>0.224</v>
      </c>
      <c r="H15" s="18">
        <v>448</v>
      </c>
      <c r="I15" s="8">
        <v>46048</v>
      </c>
      <c r="J15" s="10">
        <v>264</v>
      </c>
      <c r="K15" s="8">
        <v>46059</v>
      </c>
      <c r="L15" s="10">
        <v>27251</v>
      </c>
    </row>
    <row r="16" spans="1:12">
      <c r="A16" s="35">
        <v>46036</v>
      </c>
      <c r="B16" s="35" t="s">
        <v>14</v>
      </c>
      <c r="C16" s="36" t="s">
        <v>69</v>
      </c>
      <c r="D16" s="36" t="s">
        <v>70</v>
      </c>
      <c r="E16" s="46" t="s">
        <v>71</v>
      </c>
      <c r="F16" s="38">
        <v>800</v>
      </c>
      <c r="G16" s="39">
        <v>1.0620000000000001</v>
      </c>
      <c r="H16" s="40">
        <v>849.6</v>
      </c>
      <c r="I16" s="43">
        <v>46048</v>
      </c>
      <c r="J16" s="36">
        <v>265</v>
      </c>
      <c r="K16" s="35">
        <v>46086</v>
      </c>
      <c r="L16" s="36">
        <v>212347</v>
      </c>
    </row>
    <row r="17" spans="1:17">
      <c r="A17" s="80">
        <v>46036</v>
      </c>
      <c r="B17" s="80" t="s">
        <v>14</v>
      </c>
      <c r="C17" s="82" t="s">
        <v>73</v>
      </c>
      <c r="D17" s="82" t="s">
        <v>75</v>
      </c>
      <c r="E17" s="76" t="s">
        <v>76</v>
      </c>
      <c r="F17" s="84">
        <v>9990</v>
      </c>
      <c r="G17" s="86">
        <v>0.04</v>
      </c>
      <c r="H17" s="88">
        <v>399.6</v>
      </c>
      <c r="I17" s="80">
        <v>46048</v>
      </c>
      <c r="J17" s="82">
        <v>266</v>
      </c>
      <c r="K17" s="80" t="s">
        <v>78</v>
      </c>
      <c r="L17" s="82">
        <v>97439</v>
      </c>
      <c r="M17" s="91"/>
    </row>
    <row r="18" spans="1:17">
      <c r="A18" s="8"/>
      <c r="B18" s="10"/>
      <c r="E18" s="12" t="s">
        <v>76</v>
      </c>
      <c r="F18" s="51"/>
      <c r="G18" s="52"/>
      <c r="H18" s="54"/>
      <c r="I18" s="32"/>
      <c r="J18" s="1">
        <v>266</v>
      </c>
      <c r="K18" s="32" t="s">
        <v>80</v>
      </c>
      <c r="L18" s="1">
        <v>97700</v>
      </c>
      <c r="M18" s="91"/>
    </row>
    <row r="19" spans="1:17">
      <c r="A19" s="43">
        <v>46036</v>
      </c>
      <c r="B19" s="43" t="s">
        <v>14</v>
      </c>
      <c r="C19" s="36" t="s">
        <v>81</v>
      </c>
      <c r="D19" s="36" t="s">
        <v>82</v>
      </c>
      <c r="E19" s="46" t="s">
        <v>83</v>
      </c>
      <c r="F19" s="95">
        <v>15000</v>
      </c>
      <c r="G19" s="39">
        <v>8.8999999999999996E-2</v>
      </c>
      <c r="H19" s="40">
        <v>1335</v>
      </c>
      <c r="I19" s="35">
        <v>46048</v>
      </c>
      <c r="J19" s="36">
        <v>267</v>
      </c>
      <c r="K19" s="35">
        <v>46065</v>
      </c>
      <c r="L19" s="36">
        <v>369026</v>
      </c>
    </row>
    <row r="20" spans="1:17">
      <c r="A20" s="32">
        <v>46036</v>
      </c>
      <c r="B20" s="32" t="s">
        <v>14</v>
      </c>
      <c r="C20" s="1" t="s">
        <v>85</v>
      </c>
      <c r="D20" s="1" t="s">
        <v>86</v>
      </c>
      <c r="E20" s="76" t="s">
        <v>87</v>
      </c>
      <c r="F20" s="51">
        <v>300</v>
      </c>
      <c r="G20" s="52">
        <v>3.53</v>
      </c>
      <c r="H20" s="54">
        <v>1059</v>
      </c>
      <c r="I20" s="32">
        <v>46048</v>
      </c>
      <c r="J20" s="1">
        <v>268</v>
      </c>
      <c r="K20" s="32">
        <v>46050</v>
      </c>
      <c r="L20" s="1">
        <v>894219</v>
      </c>
    </row>
    <row r="21" spans="1:17" ht="15.75" customHeight="1">
      <c r="A21" s="32">
        <v>46036</v>
      </c>
      <c r="B21" s="32" t="s">
        <v>14</v>
      </c>
      <c r="E21" s="76" t="s">
        <v>89</v>
      </c>
      <c r="F21" s="51">
        <v>25</v>
      </c>
      <c r="G21" s="52">
        <v>9.5609999999999999</v>
      </c>
      <c r="H21" s="54">
        <v>239.02500000000001</v>
      </c>
      <c r="I21" s="32">
        <v>46048</v>
      </c>
      <c r="J21" s="1">
        <v>268</v>
      </c>
      <c r="K21" s="32">
        <v>46050</v>
      </c>
      <c r="L21" s="1">
        <v>894219</v>
      </c>
    </row>
    <row r="22" spans="1:17" ht="15.75" customHeight="1">
      <c r="A22" s="32">
        <v>46036</v>
      </c>
      <c r="B22" s="32" t="s">
        <v>14</v>
      </c>
      <c r="E22" s="76" t="s">
        <v>91</v>
      </c>
      <c r="F22" s="51">
        <v>10</v>
      </c>
      <c r="G22" s="52">
        <v>12.89</v>
      </c>
      <c r="H22" s="54">
        <v>128.9</v>
      </c>
      <c r="I22" s="32">
        <v>46048</v>
      </c>
      <c r="J22" s="1">
        <v>268</v>
      </c>
      <c r="K22" s="32">
        <v>46050</v>
      </c>
      <c r="L22" s="1">
        <v>894219</v>
      </c>
    </row>
    <row r="23" spans="1:17" ht="15.75" customHeight="1">
      <c r="A23" s="8">
        <v>46036</v>
      </c>
      <c r="B23" s="8" t="s">
        <v>14</v>
      </c>
      <c r="C23" s="10"/>
      <c r="D23" s="10"/>
      <c r="E23" s="12" t="s">
        <v>93</v>
      </c>
      <c r="F23" s="34">
        <v>10</v>
      </c>
      <c r="G23" s="16">
        <v>39.020000000000003</v>
      </c>
      <c r="H23" s="18">
        <v>390.2</v>
      </c>
      <c r="I23" s="8">
        <v>46048</v>
      </c>
      <c r="J23" s="10">
        <v>268</v>
      </c>
      <c r="K23" s="8">
        <v>46050</v>
      </c>
      <c r="L23" s="10">
        <v>894219</v>
      </c>
    </row>
    <row r="24" spans="1:17" ht="15.75" customHeight="1">
      <c r="A24" s="102">
        <v>46036</v>
      </c>
      <c r="B24" s="102" t="s">
        <v>14</v>
      </c>
      <c r="C24" s="103" t="s">
        <v>95</v>
      </c>
      <c r="D24" s="103" t="s">
        <v>96</v>
      </c>
      <c r="E24" s="107" t="s">
        <v>98</v>
      </c>
      <c r="F24" s="109">
        <v>3990</v>
      </c>
      <c r="G24" s="110">
        <v>0.78820000000000001</v>
      </c>
      <c r="H24" s="112">
        <v>3144.9180000000001</v>
      </c>
      <c r="I24" s="102">
        <v>46048</v>
      </c>
      <c r="J24" s="103">
        <v>269</v>
      </c>
      <c r="K24" s="102" t="s">
        <v>99</v>
      </c>
      <c r="L24" s="103">
        <v>421423</v>
      </c>
      <c r="M24" s="1"/>
      <c r="N24" s="1"/>
      <c r="O24" s="1"/>
      <c r="P24" s="1"/>
      <c r="Q24" s="1"/>
    </row>
    <row r="25" spans="1:17" ht="15.75" customHeight="1">
      <c r="A25" s="102">
        <v>46036</v>
      </c>
      <c r="B25" s="102" t="s">
        <v>14</v>
      </c>
      <c r="C25" s="103"/>
      <c r="D25" s="103"/>
      <c r="E25" s="107" t="s">
        <v>98</v>
      </c>
      <c r="F25" s="109"/>
      <c r="G25" s="110"/>
      <c r="H25" s="112"/>
      <c r="I25" s="102"/>
      <c r="J25" s="103">
        <v>269</v>
      </c>
      <c r="K25" s="119" t="s">
        <v>103</v>
      </c>
      <c r="L25" s="103">
        <v>427218</v>
      </c>
      <c r="M25" s="91"/>
      <c r="N25" s="1"/>
      <c r="O25" s="1"/>
      <c r="P25" s="1"/>
      <c r="Q25" s="1"/>
    </row>
    <row r="26" spans="1:17" ht="15.75" customHeight="1">
      <c r="A26" s="43">
        <v>46036</v>
      </c>
      <c r="B26" s="43" t="s">
        <v>14</v>
      </c>
      <c r="C26" s="44"/>
      <c r="D26" s="44"/>
      <c r="E26" s="46" t="s">
        <v>107</v>
      </c>
      <c r="F26" s="124">
        <v>7980</v>
      </c>
      <c r="G26" s="48">
        <v>7.22E-2</v>
      </c>
      <c r="H26" s="49">
        <v>576.15599999999995</v>
      </c>
      <c r="I26" s="43">
        <v>46048</v>
      </c>
      <c r="J26" s="44">
        <v>269</v>
      </c>
      <c r="K26" s="43">
        <v>46072</v>
      </c>
      <c r="L26" s="44">
        <v>416479</v>
      </c>
    </row>
    <row r="27" spans="1:17" ht="15.75" customHeight="1">
      <c r="A27" s="32">
        <v>46036</v>
      </c>
      <c r="B27" s="32" t="s">
        <v>14</v>
      </c>
      <c r="C27" s="1" t="s">
        <v>109</v>
      </c>
      <c r="D27" s="1" t="s">
        <v>110</v>
      </c>
      <c r="E27" s="76" t="s">
        <v>111</v>
      </c>
      <c r="F27" s="51">
        <v>50</v>
      </c>
      <c r="G27" s="52">
        <v>9.1646000000000001</v>
      </c>
      <c r="H27" s="54">
        <v>458.23</v>
      </c>
      <c r="I27" s="32">
        <v>46048</v>
      </c>
      <c r="J27" s="1">
        <v>270</v>
      </c>
      <c r="K27" s="32" t="s">
        <v>113</v>
      </c>
      <c r="L27" s="1">
        <v>56340</v>
      </c>
    </row>
    <row r="28" spans="1:17" ht="15.75" customHeight="1">
      <c r="A28" s="32">
        <v>46036</v>
      </c>
      <c r="B28" s="32" t="s">
        <v>14</v>
      </c>
      <c r="E28" s="76" t="s">
        <v>114</v>
      </c>
      <c r="F28" s="77">
        <v>19992</v>
      </c>
      <c r="G28" s="52">
        <v>0.1396</v>
      </c>
      <c r="H28" s="54">
        <v>2790.8832000000002</v>
      </c>
      <c r="I28" s="32">
        <v>46048</v>
      </c>
      <c r="J28" s="1">
        <v>270</v>
      </c>
      <c r="K28" s="32" t="s">
        <v>116</v>
      </c>
      <c r="L28" s="1">
        <v>56340</v>
      </c>
    </row>
    <row r="29" spans="1:17" ht="15.75" customHeight="1">
      <c r="A29" s="56">
        <v>46036</v>
      </c>
      <c r="B29" s="56" t="s">
        <v>14</v>
      </c>
      <c r="C29" s="58"/>
      <c r="D29" s="58"/>
      <c r="E29" s="76" t="s">
        <v>118</v>
      </c>
      <c r="F29" s="128">
        <v>19980</v>
      </c>
      <c r="G29" s="62">
        <v>0.1082</v>
      </c>
      <c r="H29" s="63">
        <v>2161.8359999999998</v>
      </c>
      <c r="I29" s="56">
        <v>46048</v>
      </c>
      <c r="J29" s="58">
        <v>270</v>
      </c>
      <c r="K29" s="56" t="s">
        <v>120</v>
      </c>
      <c r="L29" s="58">
        <v>55638</v>
      </c>
      <c r="M29" s="61" t="s">
        <v>121</v>
      </c>
      <c r="N29" s="61"/>
      <c r="O29" s="129">
        <f>SUM(H3:H29)</f>
        <v>21738.368200000001</v>
      </c>
      <c r="P29" t="s">
        <v>390</v>
      </c>
    </row>
    <row r="30" spans="1:17" ht="15.75" customHeight="1">
      <c r="A30" s="43">
        <f t="shared" ref="A30:A56" si="0">DATE(2026,1,20)</f>
        <v>46042</v>
      </c>
      <c r="B30" s="44" t="s">
        <v>13</v>
      </c>
      <c r="C30" s="44" t="s">
        <v>127</v>
      </c>
      <c r="D30" s="44"/>
      <c r="E30" s="130" t="s">
        <v>128</v>
      </c>
      <c r="F30" s="47">
        <v>35</v>
      </c>
      <c r="G30" s="48">
        <v>9.8000000000000007</v>
      </c>
      <c r="H30" s="49">
        <v>343</v>
      </c>
      <c r="I30" s="43">
        <v>46049</v>
      </c>
      <c r="J30" s="44">
        <v>273</v>
      </c>
      <c r="K30" s="43">
        <v>46072</v>
      </c>
      <c r="L30" s="44">
        <v>338572</v>
      </c>
    </row>
    <row r="31" spans="1:17" ht="15.75" customHeight="1">
      <c r="A31" s="137">
        <f t="shared" si="0"/>
        <v>46042</v>
      </c>
      <c r="B31" s="32" t="s">
        <v>13</v>
      </c>
      <c r="C31" s="1" t="s">
        <v>95</v>
      </c>
      <c r="E31" s="76" t="s">
        <v>133</v>
      </c>
      <c r="F31" s="77">
        <v>1500</v>
      </c>
      <c r="G31" s="52">
        <v>0.75</v>
      </c>
      <c r="H31" s="54">
        <v>1125</v>
      </c>
      <c r="I31" s="22">
        <v>46049</v>
      </c>
      <c r="J31" s="1">
        <v>274</v>
      </c>
      <c r="K31" s="32" t="s">
        <v>135</v>
      </c>
      <c r="L31" s="1">
        <v>417371</v>
      </c>
    </row>
    <row r="32" spans="1:17" ht="15.75" customHeight="1">
      <c r="A32" s="137">
        <f t="shared" si="0"/>
        <v>46042</v>
      </c>
      <c r="B32" s="32" t="s">
        <v>13</v>
      </c>
      <c r="E32" s="76" t="s">
        <v>136</v>
      </c>
      <c r="F32" s="51">
        <v>300</v>
      </c>
      <c r="G32" s="52">
        <v>0.28660000000000002</v>
      </c>
      <c r="H32" s="54">
        <v>85.98</v>
      </c>
      <c r="I32" s="22">
        <v>46049</v>
      </c>
      <c r="J32" s="1">
        <v>274</v>
      </c>
      <c r="K32" s="32">
        <v>46090</v>
      </c>
      <c r="L32" s="1">
        <v>418116</v>
      </c>
    </row>
    <row r="33" spans="1:15" ht="15.75" customHeight="1">
      <c r="A33" s="140">
        <f t="shared" si="0"/>
        <v>46042</v>
      </c>
      <c r="B33" s="10" t="s">
        <v>13</v>
      </c>
      <c r="C33" s="10"/>
      <c r="D33" s="10"/>
      <c r="E33" s="12" t="s">
        <v>141</v>
      </c>
      <c r="F33" s="14">
        <v>1000</v>
      </c>
      <c r="G33" s="16">
        <v>5.45E-2</v>
      </c>
      <c r="H33" s="18">
        <v>54.5</v>
      </c>
      <c r="I33" s="43">
        <v>46049</v>
      </c>
      <c r="J33" s="10">
        <v>274</v>
      </c>
      <c r="K33" s="8" t="s">
        <v>144</v>
      </c>
      <c r="L33" s="10">
        <v>417371</v>
      </c>
    </row>
    <row r="34" spans="1:15" ht="15.75" customHeight="1">
      <c r="A34" s="22">
        <f t="shared" si="0"/>
        <v>46042</v>
      </c>
      <c r="B34" s="24" t="s">
        <v>13</v>
      </c>
      <c r="C34" s="24" t="s">
        <v>145</v>
      </c>
      <c r="D34" s="24"/>
      <c r="E34" s="25" t="s">
        <v>147</v>
      </c>
      <c r="F34" s="153">
        <v>12000</v>
      </c>
      <c r="G34" s="28">
        <v>7.5300000000000006E-2</v>
      </c>
      <c r="H34" s="30">
        <v>903.6</v>
      </c>
      <c r="I34" s="22">
        <v>46049</v>
      </c>
      <c r="J34" s="24">
        <v>275</v>
      </c>
      <c r="K34" s="22">
        <v>46063</v>
      </c>
      <c r="L34" s="24">
        <v>164039</v>
      </c>
    </row>
    <row r="35" spans="1:15" ht="15.75" customHeight="1">
      <c r="A35" s="43">
        <f t="shared" si="0"/>
        <v>46042</v>
      </c>
      <c r="B35" s="44" t="s">
        <v>13</v>
      </c>
      <c r="C35" s="44"/>
      <c r="D35" s="44"/>
      <c r="E35" s="46" t="s">
        <v>149</v>
      </c>
      <c r="F35" s="47">
        <v>50</v>
      </c>
      <c r="G35" s="48">
        <v>3.0003000000000002</v>
      </c>
      <c r="H35" s="49">
        <v>150.01499999999999</v>
      </c>
      <c r="I35" s="43">
        <v>46049</v>
      </c>
      <c r="J35" s="44">
        <v>275</v>
      </c>
      <c r="K35" s="43">
        <v>46063</v>
      </c>
      <c r="L35" s="44">
        <v>164039</v>
      </c>
    </row>
    <row r="36" spans="1:15" ht="15.75" customHeight="1">
      <c r="A36" s="137">
        <f t="shared" si="0"/>
        <v>46042</v>
      </c>
      <c r="B36" s="1" t="s">
        <v>13</v>
      </c>
      <c r="C36" s="1" t="s">
        <v>150</v>
      </c>
      <c r="E36" s="76" t="s">
        <v>151</v>
      </c>
      <c r="F36" s="77">
        <v>1000</v>
      </c>
      <c r="G36" s="52">
        <v>0.03</v>
      </c>
      <c r="H36" s="54">
        <v>30</v>
      </c>
      <c r="I36" s="22">
        <v>46049</v>
      </c>
      <c r="J36" s="1">
        <v>276</v>
      </c>
      <c r="K36" s="32">
        <v>46080</v>
      </c>
      <c r="L36" s="1">
        <v>771609</v>
      </c>
    </row>
    <row r="37" spans="1:15" ht="15.75" customHeight="1">
      <c r="A37" s="140">
        <f t="shared" si="0"/>
        <v>46042</v>
      </c>
      <c r="B37" s="10" t="s">
        <v>13</v>
      </c>
      <c r="C37" s="10"/>
      <c r="D37" s="10"/>
      <c r="E37" s="12" t="s">
        <v>152</v>
      </c>
      <c r="F37" s="34">
        <v>500</v>
      </c>
      <c r="G37" s="16">
        <v>0.73</v>
      </c>
      <c r="H37" s="18">
        <v>365</v>
      </c>
      <c r="I37" s="43">
        <v>46049</v>
      </c>
      <c r="J37" s="10">
        <v>276</v>
      </c>
      <c r="K37" s="8">
        <v>46080</v>
      </c>
      <c r="L37" s="10">
        <v>771609</v>
      </c>
    </row>
    <row r="38" spans="1:15" ht="15.75" customHeight="1">
      <c r="A38" s="22">
        <f t="shared" si="0"/>
        <v>46042</v>
      </c>
      <c r="B38" s="24" t="s">
        <v>13</v>
      </c>
      <c r="C38" s="24" t="s">
        <v>153</v>
      </c>
      <c r="D38" s="24"/>
      <c r="E38" s="25" t="s">
        <v>154</v>
      </c>
      <c r="F38" s="153">
        <v>12000</v>
      </c>
      <c r="G38" s="28">
        <v>4.2999999999999997E-2</v>
      </c>
      <c r="H38" s="30">
        <v>516</v>
      </c>
      <c r="I38" s="22">
        <v>46049</v>
      </c>
      <c r="J38" s="24">
        <v>277</v>
      </c>
      <c r="K38" s="22">
        <v>46063</v>
      </c>
      <c r="L38" s="24">
        <v>172368</v>
      </c>
    </row>
    <row r="39" spans="1:15" ht="15.75" customHeight="1">
      <c r="A39" s="43">
        <f t="shared" si="0"/>
        <v>46042</v>
      </c>
      <c r="B39" s="44" t="s">
        <v>13</v>
      </c>
      <c r="C39" s="44"/>
      <c r="D39" s="44"/>
      <c r="E39" s="46" t="s">
        <v>155</v>
      </c>
      <c r="F39" s="124">
        <v>4200</v>
      </c>
      <c r="G39" s="48">
        <v>8.8999999999999996E-2</v>
      </c>
      <c r="H39" s="49">
        <v>373.8</v>
      </c>
      <c r="I39" s="43">
        <v>46049</v>
      </c>
      <c r="J39" s="44">
        <v>277</v>
      </c>
      <c r="K39" s="43">
        <v>46063</v>
      </c>
      <c r="L39" s="44">
        <v>172368</v>
      </c>
    </row>
    <row r="40" spans="1:15" ht="15.75" customHeight="1">
      <c r="A40" s="137">
        <f t="shared" si="0"/>
        <v>46042</v>
      </c>
      <c r="B40" s="24" t="s">
        <v>13</v>
      </c>
      <c r="C40" s="1" t="s">
        <v>156</v>
      </c>
      <c r="E40" s="76" t="s">
        <v>122</v>
      </c>
      <c r="F40" s="77">
        <v>7000</v>
      </c>
      <c r="G40" s="52">
        <v>3.61E-2</v>
      </c>
      <c r="H40" s="54">
        <v>252.7</v>
      </c>
      <c r="I40" s="22">
        <v>46049</v>
      </c>
      <c r="J40" s="1">
        <v>278</v>
      </c>
      <c r="K40" s="32">
        <v>46076</v>
      </c>
      <c r="L40" s="24">
        <v>906706</v>
      </c>
    </row>
    <row r="41" spans="1:15" ht="15.75" customHeight="1">
      <c r="A41" s="140">
        <f t="shared" si="0"/>
        <v>46042</v>
      </c>
      <c r="B41" s="10" t="s">
        <v>13</v>
      </c>
      <c r="C41" s="10"/>
      <c r="D41" s="10"/>
      <c r="E41" s="12" t="s">
        <v>157</v>
      </c>
      <c r="F41" s="34">
        <v>50</v>
      </c>
      <c r="G41" s="16">
        <v>6.8181000000000003</v>
      </c>
      <c r="H41" s="18">
        <v>340.90499999999997</v>
      </c>
      <c r="I41" s="43">
        <v>46049</v>
      </c>
      <c r="J41" s="10">
        <v>278</v>
      </c>
      <c r="K41" s="8">
        <v>46076</v>
      </c>
      <c r="L41" s="10">
        <v>906706</v>
      </c>
    </row>
    <row r="42" spans="1:15" ht="15.75" customHeight="1">
      <c r="A42" s="43">
        <f t="shared" si="0"/>
        <v>46042</v>
      </c>
      <c r="B42" s="36" t="s">
        <v>13</v>
      </c>
      <c r="C42" s="36" t="s">
        <v>158</v>
      </c>
      <c r="D42" s="36"/>
      <c r="E42" s="161" t="s">
        <v>159</v>
      </c>
      <c r="F42" s="38">
        <v>200</v>
      </c>
      <c r="G42" s="39">
        <v>5.7680999999999996</v>
      </c>
      <c r="H42" s="40">
        <v>1153.6199999999999</v>
      </c>
      <c r="I42" s="43">
        <v>46049</v>
      </c>
      <c r="J42" s="36">
        <v>279</v>
      </c>
      <c r="K42" s="35">
        <v>46064</v>
      </c>
      <c r="L42" s="36">
        <v>270607</v>
      </c>
    </row>
    <row r="43" spans="1:15" ht="15.75" customHeight="1">
      <c r="A43" s="7">
        <f t="shared" si="0"/>
        <v>46042</v>
      </c>
      <c r="B43" s="9" t="s">
        <v>13</v>
      </c>
      <c r="C43" s="9" t="s">
        <v>160</v>
      </c>
      <c r="D43" s="9"/>
      <c r="E43" s="11" t="s">
        <v>16</v>
      </c>
      <c r="F43" s="13">
        <v>9990</v>
      </c>
      <c r="G43" s="15">
        <v>1.3899999999999999E-2</v>
      </c>
      <c r="H43" s="17">
        <v>138.86099999999999</v>
      </c>
      <c r="I43" s="19">
        <v>46049</v>
      </c>
      <c r="J43" s="9">
        <v>280</v>
      </c>
      <c r="K43" s="19"/>
      <c r="L43" s="9"/>
      <c r="M43" s="20" t="s">
        <v>19</v>
      </c>
      <c r="N43" s="20"/>
      <c r="O43" s="20"/>
    </row>
    <row r="44" spans="1:15" ht="15.75" customHeight="1">
      <c r="A44" s="22">
        <f t="shared" si="0"/>
        <v>46042</v>
      </c>
      <c r="B44" s="24" t="s">
        <v>13</v>
      </c>
      <c r="C44" s="24" t="s">
        <v>161</v>
      </c>
      <c r="D44" s="24"/>
      <c r="E44" s="25" t="s">
        <v>162</v>
      </c>
      <c r="F44" s="26">
        <v>100</v>
      </c>
      <c r="G44" s="28">
        <v>6</v>
      </c>
      <c r="H44" s="30">
        <v>600</v>
      </c>
      <c r="I44" s="22">
        <v>46049</v>
      </c>
      <c r="J44" s="24">
        <v>281</v>
      </c>
      <c r="K44" s="22">
        <v>46058</v>
      </c>
      <c r="L44" s="24">
        <v>669990</v>
      </c>
    </row>
    <row r="45" spans="1:15" ht="15.75" customHeight="1">
      <c r="A45" s="43">
        <f t="shared" si="0"/>
        <v>46042</v>
      </c>
      <c r="B45" s="44" t="s">
        <v>13</v>
      </c>
      <c r="C45" s="44"/>
      <c r="D45" s="44"/>
      <c r="E45" s="46" t="s">
        <v>163</v>
      </c>
      <c r="F45" s="47">
        <v>50</v>
      </c>
      <c r="G45" s="48">
        <v>3.7292999999999998</v>
      </c>
      <c r="H45" s="49">
        <v>186.465</v>
      </c>
      <c r="I45" s="43">
        <v>46049</v>
      </c>
      <c r="J45" s="44">
        <v>281</v>
      </c>
      <c r="K45" s="43">
        <v>46058</v>
      </c>
      <c r="L45" s="44">
        <v>669990</v>
      </c>
    </row>
    <row r="46" spans="1:15" ht="15.75" customHeight="1">
      <c r="A46" s="8">
        <f t="shared" si="0"/>
        <v>46042</v>
      </c>
      <c r="B46" s="53" t="s">
        <v>13</v>
      </c>
      <c r="C46" s="53" t="s">
        <v>164</v>
      </c>
      <c r="D46" s="53"/>
      <c r="E46" s="66" t="s">
        <v>165</v>
      </c>
      <c r="F46" s="55">
        <v>50</v>
      </c>
      <c r="G46" s="57">
        <v>2.5244</v>
      </c>
      <c r="H46" s="59">
        <v>126.22</v>
      </c>
      <c r="I46" s="43">
        <v>46049</v>
      </c>
      <c r="J46" s="53">
        <v>282</v>
      </c>
      <c r="K46" s="50">
        <v>46058</v>
      </c>
      <c r="L46" s="53">
        <v>285643</v>
      </c>
    </row>
    <row r="47" spans="1:15" ht="15.75" customHeight="1">
      <c r="A47" s="35">
        <f t="shared" si="0"/>
        <v>46042</v>
      </c>
      <c r="B47" s="36" t="s">
        <v>13</v>
      </c>
      <c r="C47" s="36" t="s">
        <v>166</v>
      </c>
      <c r="D47" s="36"/>
      <c r="E47" s="46" t="s">
        <v>167</v>
      </c>
      <c r="F47" s="38">
        <v>150</v>
      </c>
      <c r="G47" s="39">
        <v>11.98</v>
      </c>
      <c r="H47" s="40">
        <v>1797</v>
      </c>
      <c r="I47" s="35">
        <v>46049</v>
      </c>
      <c r="J47" s="36">
        <v>283</v>
      </c>
      <c r="K47" s="35">
        <v>46106</v>
      </c>
      <c r="L47" s="36">
        <v>50938</v>
      </c>
    </row>
    <row r="48" spans="1:15" ht="15.75" customHeight="1">
      <c r="A48" s="32">
        <f t="shared" si="0"/>
        <v>46042</v>
      </c>
      <c r="B48" s="1" t="s">
        <v>13</v>
      </c>
      <c r="C48" s="1" t="s">
        <v>168</v>
      </c>
      <c r="E48" s="76" t="s">
        <v>169</v>
      </c>
      <c r="F48" s="51">
        <v>600</v>
      </c>
      <c r="G48" s="52">
        <v>0.1704</v>
      </c>
      <c r="H48" s="54">
        <v>102.24</v>
      </c>
      <c r="I48" s="32">
        <v>46049</v>
      </c>
      <c r="J48" s="1">
        <v>284</v>
      </c>
      <c r="K48" s="32" t="s">
        <v>170</v>
      </c>
      <c r="L48" s="1">
        <v>986293</v>
      </c>
    </row>
    <row r="49" spans="1:18" ht="15.75" customHeight="1">
      <c r="A49" s="8">
        <f t="shared" si="0"/>
        <v>46042</v>
      </c>
      <c r="B49" s="10" t="s">
        <v>13</v>
      </c>
      <c r="C49" s="10"/>
      <c r="D49" s="10"/>
      <c r="E49" s="12" t="s">
        <v>171</v>
      </c>
      <c r="F49" s="34">
        <v>100</v>
      </c>
      <c r="G49" s="16">
        <v>6.4429999999999996</v>
      </c>
      <c r="H49" s="18">
        <v>644.29999999999995</v>
      </c>
      <c r="I49" s="8">
        <v>46049</v>
      </c>
      <c r="J49" s="10">
        <v>284</v>
      </c>
      <c r="K49" s="162" t="s">
        <v>172</v>
      </c>
      <c r="L49" s="10">
        <v>992969</v>
      </c>
      <c r="P49" s="91"/>
      <c r="Q49" s="91"/>
    </row>
    <row r="50" spans="1:18" ht="15.75" customHeight="1">
      <c r="A50" s="22">
        <f t="shared" si="0"/>
        <v>46042</v>
      </c>
      <c r="B50" s="24" t="s">
        <v>13</v>
      </c>
      <c r="C50" s="24" t="s">
        <v>173</v>
      </c>
      <c r="D50" s="24"/>
      <c r="E50" s="25" t="s">
        <v>174</v>
      </c>
      <c r="F50" s="26">
        <v>100</v>
      </c>
      <c r="G50" s="28">
        <v>3.875</v>
      </c>
      <c r="H50" s="30">
        <v>387.5</v>
      </c>
      <c r="I50" s="22">
        <v>46049</v>
      </c>
      <c r="J50" s="24">
        <v>285</v>
      </c>
      <c r="K50" s="163" t="s">
        <v>175</v>
      </c>
      <c r="L50" s="24">
        <v>125231</v>
      </c>
    </row>
    <row r="51" spans="1:18" ht="15.75" customHeight="1">
      <c r="A51" s="43">
        <f t="shared" si="0"/>
        <v>46042</v>
      </c>
      <c r="B51" s="44" t="s">
        <v>13</v>
      </c>
      <c r="C51" s="44"/>
      <c r="D51" s="44"/>
      <c r="E51" s="46" t="s">
        <v>176</v>
      </c>
      <c r="F51" s="47">
        <v>300</v>
      </c>
      <c r="G51" s="48">
        <v>1.5227999999999999</v>
      </c>
      <c r="H51" s="49">
        <v>456.84</v>
      </c>
      <c r="I51" s="43">
        <v>46049</v>
      </c>
      <c r="J51" s="44">
        <v>285</v>
      </c>
      <c r="K51" s="164" t="s">
        <v>177</v>
      </c>
      <c r="L51" s="44">
        <v>129340</v>
      </c>
      <c r="M51" s="1"/>
      <c r="N51" s="1"/>
      <c r="O51" s="1"/>
    </row>
    <row r="52" spans="1:18" ht="15.75" customHeight="1">
      <c r="A52" s="32">
        <f t="shared" si="0"/>
        <v>46042</v>
      </c>
      <c r="B52" s="1" t="s">
        <v>13</v>
      </c>
      <c r="C52" s="1" t="s">
        <v>178</v>
      </c>
      <c r="E52" s="76" t="s">
        <v>179</v>
      </c>
      <c r="F52" s="51">
        <v>25</v>
      </c>
      <c r="G52" s="52">
        <v>3.6818</v>
      </c>
      <c r="H52" s="54">
        <v>92.045000000000002</v>
      </c>
      <c r="I52" s="22">
        <v>46049</v>
      </c>
      <c r="J52" s="1">
        <v>286</v>
      </c>
      <c r="K52" s="32" t="s">
        <v>180</v>
      </c>
      <c r="L52" s="1">
        <v>364403</v>
      </c>
    </row>
    <row r="53" spans="1:18" ht="15.75" customHeight="1">
      <c r="A53" s="32">
        <f t="shared" si="0"/>
        <v>46042</v>
      </c>
      <c r="B53" s="1" t="s">
        <v>13</v>
      </c>
      <c r="E53" s="76" t="s">
        <v>181</v>
      </c>
      <c r="F53" s="51">
        <v>50</v>
      </c>
      <c r="G53" s="52">
        <v>5.0795000000000003</v>
      </c>
      <c r="H53" s="54">
        <v>253.97499999999999</v>
      </c>
      <c r="I53" s="22">
        <v>46049</v>
      </c>
      <c r="J53" s="1">
        <v>286</v>
      </c>
      <c r="K53" s="32" t="s">
        <v>182</v>
      </c>
      <c r="L53" s="1">
        <v>364403</v>
      </c>
    </row>
    <row r="54" spans="1:18" ht="15.75" customHeight="1">
      <c r="A54" s="32">
        <f t="shared" si="0"/>
        <v>46042</v>
      </c>
      <c r="B54" s="1" t="s">
        <v>13</v>
      </c>
      <c r="E54" s="76" t="s">
        <v>183</v>
      </c>
      <c r="F54" s="51">
        <v>1000</v>
      </c>
      <c r="G54" s="52">
        <v>4.9799999999999997E-2</v>
      </c>
      <c r="H54" s="54">
        <v>49.8</v>
      </c>
      <c r="I54" s="22">
        <v>46049</v>
      </c>
      <c r="J54" s="1">
        <v>286</v>
      </c>
      <c r="K54" s="32" t="s">
        <v>184</v>
      </c>
      <c r="L54" s="1">
        <v>364403</v>
      </c>
    </row>
    <row r="55" spans="1:18" ht="15.75" customHeight="1">
      <c r="A55" s="8">
        <f t="shared" si="0"/>
        <v>46042</v>
      </c>
      <c r="B55" s="21" t="s">
        <v>13</v>
      </c>
      <c r="C55" s="21"/>
      <c r="D55" s="21"/>
      <c r="E55" s="11" t="s">
        <v>20</v>
      </c>
      <c r="F55" s="23">
        <v>500</v>
      </c>
      <c r="G55" s="27">
        <v>0.1439</v>
      </c>
      <c r="H55" s="29">
        <v>71.95</v>
      </c>
      <c r="I55" s="31">
        <v>46049</v>
      </c>
      <c r="J55" s="21">
        <v>286</v>
      </c>
      <c r="K55" s="31"/>
      <c r="L55" s="21"/>
      <c r="M55" s="20" t="s">
        <v>19</v>
      </c>
      <c r="N55" s="20"/>
      <c r="O55" s="20"/>
    </row>
    <row r="56" spans="1:18" ht="15.75" customHeight="1">
      <c r="A56" s="165">
        <f t="shared" si="0"/>
        <v>46042</v>
      </c>
      <c r="B56" s="115" t="s">
        <v>13</v>
      </c>
      <c r="C56" s="115" t="s">
        <v>185</v>
      </c>
      <c r="D56" s="115"/>
      <c r="E56" s="25" t="s">
        <v>186</v>
      </c>
      <c r="F56" s="166">
        <v>90</v>
      </c>
      <c r="G56" s="167">
        <v>4.8499999999999996</v>
      </c>
      <c r="H56" s="120">
        <v>436.5</v>
      </c>
      <c r="I56" s="165">
        <v>46049</v>
      </c>
      <c r="J56" s="115">
        <v>287</v>
      </c>
      <c r="K56" s="114">
        <v>46058</v>
      </c>
      <c r="L56" s="115">
        <v>1049714</v>
      </c>
      <c r="M56" s="168" t="s">
        <v>121</v>
      </c>
      <c r="N56" s="69"/>
      <c r="O56" s="169">
        <f>SUM(H30:H56)</f>
        <v>11037.816000000001</v>
      </c>
      <c r="Q56" s="54">
        <f>SUM(H3:H56)</f>
        <v>32776.184199999996</v>
      </c>
      <c r="R56" s="1" t="s">
        <v>187</v>
      </c>
    </row>
    <row r="57" spans="1:18" ht="15.75" customHeight="1">
      <c r="A57" s="170">
        <v>46046</v>
      </c>
      <c r="B57" s="171" t="s">
        <v>188</v>
      </c>
      <c r="C57" s="171" t="s">
        <v>168</v>
      </c>
      <c r="D57" s="171"/>
      <c r="E57" s="172" t="s">
        <v>189</v>
      </c>
      <c r="F57" s="173">
        <v>600</v>
      </c>
      <c r="G57" s="174">
        <v>0.22</v>
      </c>
      <c r="H57" s="175">
        <v>132</v>
      </c>
      <c r="I57" s="170">
        <v>46080</v>
      </c>
      <c r="J57" s="171">
        <v>1236</v>
      </c>
      <c r="K57" s="170">
        <v>46120</v>
      </c>
      <c r="L57" s="171">
        <v>998426</v>
      </c>
    </row>
    <row r="58" spans="1:18" ht="15.75" customHeight="1">
      <c r="A58" s="114">
        <v>46046</v>
      </c>
      <c r="B58" s="115" t="s">
        <v>188</v>
      </c>
      <c r="C58" s="115" t="s">
        <v>190</v>
      </c>
      <c r="D58" s="115"/>
      <c r="E58" s="176" t="s">
        <v>191</v>
      </c>
      <c r="F58" s="166">
        <v>2160</v>
      </c>
      <c r="G58" s="167">
        <v>1.5595000000000001</v>
      </c>
      <c r="H58" s="120">
        <v>3368.52</v>
      </c>
      <c r="I58" s="114">
        <v>46080</v>
      </c>
      <c r="J58" s="115">
        <v>1235</v>
      </c>
      <c r="K58" s="114">
        <v>46111</v>
      </c>
      <c r="L58" s="115">
        <v>69923</v>
      </c>
      <c r="M58" s="168" t="s">
        <v>121</v>
      </c>
      <c r="N58" s="69"/>
      <c r="O58" s="177">
        <v>3500.52</v>
      </c>
      <c r="P58" s="1" t="s">
        <v>192</v>
      </c>
      <c r="Q58" s="1" t="s">
        <v>193</v>
      </c>
    </row>
    <row r="59" spans="1:18" ht="15.75" customHeight="1">
      <c r="A59" s="178">
        <v>46084</v>
      </c>
      <c r="B59" s="179" t="s">
        <v>194</v>
      </c>
      <c r="C59" s="179" t="s">
        <v>164</v>
      </c>
      <c r="D59" s="179"/>
      <c r="E59" s="180" t="s">
        <v>195</v>
      </c>
      <c r="F59" s="181">
        <v>8000</v>
      </c>
      <c r="G59" s="182">
        <v>0.23169999999999999</v>
      </c>
      <c r="H59" s="183">
        <v>1853.6</v>
      </c>
      <c r="I59" s="178">
        <v>46092</v>
      </c>
      <c r="J59" s="179">
        <v>1397</v>
      </c>
      <c r="K59" s="178">
        <v>46101</v>
      </c>
      <c r="L59" s="179">
        <v>287789</v>
      </c>
    </row>
    <row r="60" spans="1:18" ht="15.75" customHeight="1">
      <c r="A60" s="32">
        <v>46084</v>
      </c>
      <c r="B60" s="1" t="s">
        <v>24</v>
      </c>
      <c r="C60" s="24" t="s">
        <v>127</v>
      </c>
      <c r="D60" s="24"/>
      <c r="E60" s="25" t="s">
        <v>25</v>
      </c>
      <c r="F60" s="26">
        <v>6000</v>
      </c>
      <c r="G60" s="28">
        <v>6.7000000000000004E-2</v>
      </c>
      <c r="H60" s="30">
        <v>402</v>
      </c>
      <c r="I60" s="22">
        <v>46092</v>
      </c>
      <c r="J60" s="24">
        <v>1393</v>
      </c>
      <c r="K60" s="22"/>
      <c r="L60" s="24"/>
      <c r="M60" s="1" t="s">
        <v>27</v>
      </c>
    </row>
    <row r="61" spans="1:18" ht="15.75" customHeight="1">
      <c r="A61" s="32">
        <v>46084</v>
      </c>
      <c r="B61" s="1" t="s">
        <v>24</v>
      </c>
      <c r="C61" s="24"/>
      <c r="D61" s="24"/>
      <c r="E61" s="25" t="s">
        <v>196</v>
      </c>
      <c r="F61" s="26">
        <v>200</v>
      </c>
      <c r="G61" s="28">
        <v>1.8735999999999999</v>
      </c>
      <c r="H61" s="30">
        <v>374.72</v>
      </c>
      <c r="I61" s="22">
        <v>46092</v>
      </c>
      <c r="J61" s="24">
        <v>1393</v>
      </c>
      <c r="K61" s="22" t="s">
        <v>197</v>
      </c>
      <c r="L61" s="24">
        <v>341125</v>
      </c>
    </row>
    <row r="62" spans="1:18" ht="15.75" customHeight="1">
      <c r="A62" s="32">
        <v>46084</v>
      </c>
      <c r="B62" s="1" t="s">
        <v>24</v>
      </c>
      <c r="C62" s="24"/>
      <c r="D62" s="24"/>
      <c r="E62" s="25" t="s">
        <v>105</v>
      </c>
      <c r="F62" s="26">
        <v>5000</v>
      </c>
      <c r="G62" s="28">
        <v>6.5000000000000002E-2</v>
      </c>
      <c r="H62" s="30">
        <v>325</v>
      </c>
      <c r="I62" s="22">
        <v>46092</v>
      </c>
      <c r="J62" s="24">
        <v>1393</v>
      </c>
      <c r="K62" s="22" t="s">
        <v>198</v>
      </c>
      <c r="L62" s="24">
        <v>341125</v>
      </c>
    </row>
    <row r="63" spans="1:18" ht="15.75" customHeight="1">
      <c r="A63" s="32">
        <v>46084</v>
      </c>
      <c r="B63" s="1" t="s">
        <v>24</v>
      </c>
      <c r="C63" s="24"/>
      <c r="D63" s="24"/>
      <c r="E63" s="25" t="s">
        <v>108</v>
      </c>
      <c r="F63" s="26">
        <v>8000</v>
      </c>
      <c r="G63" s="28">
        <v>6.5000000000000002E-2</v>
      </c>
      <c r="H63" s="30">
        <v>520</v>
      </c>
      <c r="I63" s="22">
        <v>46092</v>
      </c>
      <c r="J63" s="24">
        <v>1393</v>
      </c>
      <c r="K63" s="163" t="s">
        <v>199</v>
      </c>
      <c r="L63" s="24">
        <v>342757</v>
      </c>
    </row>
    <row r="64" spans="1:18" ht="15.75" customHeight="1">
      <c r="A64" s="8">
        <v>46084</v>
      </c>
      <c r="B64" s="10" t="s">
        <v>24</v>
      </c>
      <c r="C64" s="44"/>
      <c r="D64" s="44"/>
      <c r="E64" s="46" t="s">
        <v>106</v>
      </c>
      <c r="F64" s="47">
        <v>5000</v>
      </c>
      <c r="G64" s="48">
        <v>6.5000000000000002E-2</v>
      </c>
      <c r="H64" s="49">
        <v>325</v>
      </c>
      <c r="I64" s="43">
        <v>46092</v>
      </c>
      <c r="J64" s="44">
        <v>1393</v>
      </c>
      <c r="K64" s="164" t="s">
        <v>200</v>
      </c>
      <c r="L64" s="44">
        <v>342757</v>
      </c>
    </row>
    <row r="65" spans="1:12" ht="15.75" customHeight="1">
      <c r="A65" s="32">
        <v>46084</v>
      </c>
      <c r="B65" s="1" t="s">
        <v>24</v>
      </c>
      <c r="C65" s="1" t="s">
        <v>95</v>
      </c>
      <c r="E65" s="76" t="s">
        <v>201</v>
      </c>
      <c r="F65" s="51">
        <v>3990</v>
      </c>
      <c r="G65" s="52">
        <v>5.91E-2</v>
      </c>
      <c r="H65" s="54">
        <v>235.809</v>
      </c>
      <c r="I65" s="32">
        <v>46092</v>
      </c>
      <c r="J65" s="1">
        <v>1394</v>
      </c>
      <c r="K65" s="32">
        <v>46149</v>
      </c>
      <c r="L65" s="24">
        <v>423239</v>
      </c>
    </row>
    <row r="66" spans="1:12" ht="15.75" customHeight="1">
      <c r="A66" s="8">
        <v>46084</v>
      </c>
      <c r="B66" s="10" t="s">
        <v>24</v>
      </c>
      <c r="C66" s="10"/>
      <c r="D66" s="10"/>
      <c r="E66" s="12" t="s">
        <v>202</v>
      </c>
      <c r="F66" s="34">
        <v>30</v>
      </c>
      <c r="G66" s="16">
        <v>2.8635999999999999</v>
      </c>
      <c r="H66" s="18">
        <v>85.908000000000001</v>
      </c>
      <c r="I66" s="8">
        <v>46092</v>
      </c>
      <c r="J66" s="10">
        <v>1394</v>
      </c>
      <c r="K66" s="8">
        <v>46149</v>
      </c>
      <c r="L66" s="10">
        <v>423239</v>
      </c>
    </row>
    <row r="67" spans="1:12" ht="15.75" customHeight="1">
      <c r="A67" s="32">
        <v>46084</v>
      </c>
      <c r="B67" s="1" t="s">
        <v>24</v>
      </c>
      <c r="C67" s="24" t="s">
        <v>145</v>
      </c>
      <c r="D67" s="24"/>
      <c r="E67" s="25" t="s">
        <v>203</v>
      </c>
      <c r="F67" s="26">
        <v>50</v>
      </c>
      <c r="G67" s="28">
        <v>1.9512</v>
      </c>
      <c r="H67" s="30">
        <v>97.56</v>
      </c>
      <c r="I67" s="22">
        <v>46092</v>
      </c>
      <c r="J67" s="24">
        <v>1395</v>
      </c>
      <c r="K67" s="22" t="s">
        <v>204</v>
      </c>
      <c r="L67" s="24">
        <v>165125</v>
      </c>
    </row>
    <row r="68" spans="1:12" ht="15.75" customHeight="1">
      <c r="A68" s="32">
        <v>46084</v>
      </c>
      <c r="B68" s="1" t="s">
        <v>24</v>
      </c>
      <c r="C68" s="24"/>
      <c r="D68" s="24"/>
      <c r="E68" s="25" t="s">
        <v>112</v>
      </c>
      <c r="F68" s="26">
        <v>3000</v>
      </c>
      <c r="G68" s="28">
        <v>0.38169999999999998</v>
      </c>
      <c r="H68" s="30">
        <v>1145.0999999999999</v>
      </c>
      <c r="I68" s="22">
        <v>46092</v>
      </c>
      <c r="J68" s="24">
        <v>1395</v>
      </c>
      <c r="K68" s="22" t="s">
        <v>205</v>
      </c>
      <c r="L68" s="24">
        <v>165410</v>
      </c>
    </row>
    <row r="69" spans="1:12" ht="15.75" customHeight="1">
      <c r="A69" s="32">
        <v>46084</v>
      </c>
      <c r="B69" s="1" t="s">
        <v>24</v>
      </c>
      <c r="C69" s="24"/>
      <c r="D69" s="24"/>
      <c r="E69" s="25" t="s">
        <v>206</v>
      </c>
      <c r="F69" s="26">
        <v>3000</v>
      </c>
      <c r="G69" s="28">
        <v>0.51029999999999998</v>
      </c>
      <c r="H69" s="30">
        <v>1530.9</v>
      </c>
      <c r="I69" s="22">
        <v>46092</v>
      </c>
      <c r="J69" s="24">
        <v>1395</v>
      </c>
      <c r="K69" s="163" t="s">
        <v>207</v>
      </c>
      <c r="L69" s="24">
        <v>165235</v>
      </c>
    </row>
    <row r="70" spans="1:12" ht="15.75" customHeight="1">
      <c r="A70" s="32">
        <v>46084</v>
      </c>
      <c r="B70" s="1" t="s">
        <v>24</v>
      </c>
      <c r="C70" s="24"/>
      <c r="D70" s="24"/>
      <c r="E70" s="25" t="s">
        <v>208</v>
      </c>
      <c r="F70" s="26">
        <v>5000</v>
      </c>
      <c r="G70" s="28">
        <v>0.2248</v>
      </c>
      <c r="H70" s="30">
        <v>1124</v>
      </c>
      <c r="I70" s="22">
        <v>46092</v>
      </c>
      <c r="J70" s="24">
        <v>1395</v>
      </c>
      <c r="K70" s="22" t="s">
        <v>209</v>
      </c>
      <c r="L70" s="24">
        <v>165125</v>
      </c>
    </row>
    <row r="71" spans="1:12" ht="15.75" customHeight="1">
      <c r="A71" s="8">
        <v>46084</v>
      </c>
      <c r="B71" s="10" t="s">
        <v>24</v>
      </c>
      <c r="C71" s="44"/>
      <c r="D71" s="44"/>
      <c r="E71" s="46" t="s">
        <v>210</v>
      </c>
      <c r="F71" s="47">
        <v>4000</v>
      </c>
      <c r="G71" s="48">
        <v>0.59740000000000004</v>
      </c>
      <c r="H71" s="49">
        <v>2389.6</v>
      </c>
      <c r="I71" s="43">
        <v>46092</v>
      </c>
      <c r="J71" s="44">
        <v>1395</v>
      </c>
      <c r="K71" s="43" t="s">
        <v>211</v>
      </c>
      <c r="L71" s="44">
        <v>165125</v>
      </c>
    </row>
    <row r="72" spans="1:12" ht="15.75" customHeight="1">
      <c r="A72" s="32">
        <v>46084</v>
      </c>
      <c r="B72" s="1" t="s">
        <v>24</v>
      </c>
      <c r="C72" s="1" t="s">
        <v>153</v>
      </c>
      <c r="E72" s="76" t="s">
        <v>212</v>
      </c>
      <c r="F72" s="51">
        <v>6000</v>
      </c>
      <c r="G72" s="52">
        <v>9.8000000000000004E-2</v>
      </c>
      <c r="H72" s="54">
        <v>588</v>
      </c>
      <c r="I72" s="32">
        <v>46092</v>
      </c>
      <c r="J72" s="1">
        <v>1396</v>
      </c>
      <c r="K72" s="32">
        <v>46099</v>
      </c>
      <c r="L72" s="1">
        <v>190141</v>
      </c>
    </row>
    <row r="73" spans="1:12" ht="15.75" customHeight="1">
      <c r="A73" s="8">
        <v>46084</v>
      </c>
      <c r="B73" s="10" t="s">
        <v>24</v>
      </c>
      <c r="C73" s="10"/>
      <c r="D73" s="10"/>
      <c r="E73" s="12" t="s">
        <v>213</v>
      </c>
      <c r="F73" s="34">
        <v>10000</v>
      </c>
      <c r="G73" s="16">
        <v>4.5499999999999999E-2</v>
      </c>
      <c r="H73" s="18">
        <v>455</v>
      </c>
      <c r="I73" s="8">
        <v>46092</v>
      </c>
      <c r="J73" s="10">
        <v>1396</v>
      </c>
      <c r="K73" s="8">
        <v>46099</v>
      </c>
      <c r="L73" s="10">
        <v>190141</v>
      </c>
    </row>
    <row r="74" spans="1:12" ht="15.75" customHeight="1">
      <c r="A74" s="32">
        <v>46084</v>
      </c>
      <c r="B74" s="1" t="s">
        <v>24</v>
      </c>
      <c r="C74" s="24" t="s">
        <v>69</v>
      </c>
      <c r="D74" s="24"/>
      <c r="E74" s="25" t="s">
        <v>214</v>
      </c>
      <c r="F74" s="26">
        <v>5000</v>
      </c>
      <c r="G74" s="28">
        <v>0.2465</v>
      </c>
      <c r="H74" s="30">
        <v>1232.5</v>
      </c>
      <c r="I74" s="22">
        <v>46092</v>
      </c>
      <c r="J74" s="24">
        <v>1398</v>
      </c>
      <c r="K74" s="22" t="s">
        <v>215</v>
      </c>
      <c r="L74" s="24">
        <v>910652</v>
      </c>
    </row>
    <row r="75" spans="1:12" ht="15.75" customHeight="1">
      <c r="A75" s="32">
        <v>46084</v>
      </c>
      <c r="B75" s="1" t="s">
        <v>24</v>
      </c>
      <c r="C75" s="24"/>
      <c r="D75" s="24"/>
      <c r="E75" s="25" t="s">
        <v>216</v>
      </c>
      <c r="F75" s="26">
        <v>3000</v>
      </c>
      <c r="G75" s="28">
        <v>0.28499999999999998</v>
      </c>
      <c r="H75" s="30">
        <v>855</v>
      </c>
      <c r="I75" s="22">
        <v>46092</v>
      </c>
      <c r="J75" s="24">
        <v>1398</v>
      </c>
      <c r="K75" s="22" t="s">
        <v>217</v>
      </c>
      <c r="L75" s="24">
        <v>910652</v>
      </c>
    </row>
    <row r="76" spans="1:12" ht="15.75" customHeight="1">
      <c r="A76" s="32">
        <v>46084</v>
      </c>
      <c r="B76" s="1" t="s">
        <v>24</v>
      </c>
      <c r="C76" s="24"/>
      <c r="D76" s="24"/>
      <c r="E76" s="25" t="s">
        <v>218</v>
      </c>
      <c r="F76" s="26">
        <v>50</v>
      </c>
      <c r="G76" s="28">
        <v>2.5718999999999999</v>
      </c>
      <c r="H76" s="30">
        <v>128.595</v>
      </c>
      <c r="I76" s="22">
        <v>46092</v>
      </c>
      <c r="J76" s="24">
        <v>1398</v>
      </c>
      <c r="K76" s="163" t="s">
        <v>219</v>
      </c>
      <c r="L76" s="24">
        <v>912775</v>
      </c>
    </row>
    <row r="77" spans="1:12" ht="15.75" customHeight="1">
      <c r="A77" s="32">
        <v>46084</v>
      </c>
      <c r="B77" s="1" t="s">
        <v>24</v>
      </c>
      <c r="C77" s="24"/>
      <c r="D77" s="24"/>
      <c r="E77" s="25" t="s">
        <v>220</v>
      </c>
      <c r="F77" s="26">
        <v>50</v>
      </c>
      <c r="G77" s="28">
        <v>5.3657000000000004</v>
      </c>
      <c r="H77" s="30">
        <v>268.28500000000003</v>
      </c>
      <c r="I77" s="22">
        <v>46092</v>
      </c>
      <c r="J77" s="24">
        <v>1398</v>
      </c>
      <c r="K77" s="163" t="s">
        <v>221</v>
      </c>
      <c r="L77" s="24">
        <v>915213</v>
      </c>
    </row>
    <row r="78" spans="1:12" ht="15.75" customHeight="1">
      <c r="A78" s="8">
        <v>46084</v>
      </c>
      <c r="B78" s="10" t="s">
        <v>24</v>
      </c>
      <c r="C78" s="44"/>
      <c r="D78" s="44"/>
      <c r="E78" s="46" t="s">
        <v>222</v>
      </c>
      <c r="F78" s="47">
        <v>1500</v>
      </c>
      <c r="G78" s="48">
        <v>1.4390000000000001</v>
      </c>
      <c r="H78" s="49">
        <v>2158.5</v>
      </c>
      <c r="I78" s="43">
        <v>46092</v>
      </c>
      <c r="J78" s="44">
        <v>1398</v>
      </c>
      <c r="K78" s="164" t="s">
        <v>223</v>
      </c>
      <c r="L78" s="44">
        <v>912775</v>
      </c>
    </row>
    <row r="79" spans="1:12" ht="15.75" customHeight="1">
      <c r="A79" s="32">
        <v>46084</v>
      </c>
      <c r="B79" s="1" t="s">
        <v>24</v>
      </c>
      <c r="C79" s="1" t="s">
        <v>224</v>
      </c>
      <c r="E79" s="76" t="s">
        <v>122</v>
      </c>
      <c r="F79" s="51">
        <v>7000</v>
      </c>
      <c r="G79" s="52">
        <v>3.4799999999999998E-2</v>
      </c>
      <c r="H79" s="54">
        <v>243.6</v>
      </c>
      <c r="I79" s="32">
        <v>46092</v>
      </c>
      <c r="J79" s="1">
        <v>1399</v>
      </c>
      <c r="K79" s="32">
        <v>46108</v>
      </c>
      <c r="L79" s="1">
        <v>680488</v>
      </c>
    </row>
    <row r="80" spans="1:12" ht="15.75" customHeight="1">
      <c r="A80" s="8">
        <v>46084</v>
      </c>
      <c r="B80" s="10" t="s">
        <v>24</v>
      </c>
      <c r="C80" s="10"/>
      <c r="D80" s="10"/>
      <c r="E80" s="12" t="s">
        <v>225</v>
      </c>
      <c r="F80" s="34">
        <v>1980</v>
      </c>
      <c r="G80" s="16">
        <v>3.5499999999999997E-2</v>
      </c>
      <c r="H80" s="18">
        <v>70.290000000000006</v>
      </c>
      <c r="I80" s="8">
        <v>46092</v>
      </c>
      <c r="J80" s="10">
        <v>1399</v>
      </c>
      <c r="K80" s="8">
        <v>46108</v>
      </c>
      <c r="L80" s="10">
        <v>680488</v>
      </c>
    </row>
    <row r="81" spans="1:13" ht="15.75" customHeight="1">
      <c r="A81" s="32">
        <v>46084</v>
      </c>
      <c r="B81" s="1" t="s">
        <v>24</v>
      </c>
      <c r="C81" s="24" t="s">
        <v>226</v>
      </c>
      <c r="D81" s="24"/>
      <c r="E81" s="25" t="s">
        <v>227</v>
      </c>
      <c r="F81" s="26">
        <v>15000</v>
      </c>
      <c r="G81" s="28">
        <v>0.15010000000000001</v>
      </c>
      <c r="H81" s="30">
        <v>2251.5</v>
      </c>
      <c r="I81" s="22">
        <v>46092</v>
      </c>
      <c r="J81" s="24">
        <v>1400</v>
      </c>
      <c r="K81" s="163" t="s">
        <v>228</v>
      </c>
      <c r="L81" s="24">
        <v>50935</v>
      </c>
    </row>
    <row r="82" spans="1:13" ht="15.75" customHeight="1">
      <c r="A82" s="32">
        <v>46084</v>
      </c>
      <c r="B82" s="1" t="s">
        <v>24</v>
      </c>
      <c r="C82" s="24"/>
      <c r="D82" s="24"/>
      <c r="E82" s="25" t="s">
        <v>229</v>
      </c>
      <c r="F82" s="26">
        <v>50</v>
      </c>
      <c r="G82" s="28">
        <v>5.6022999999999996</v>
      </c>
      <c r="H82" s="30">
        <v>280.11500000000001</v>
      </c>
      <c r="I82" s="22">
        <v>46092</v>
      </c>
      <c r="J82" s="24">
        <v>1400</v>
      </c>
      <c r="K82" s="163" t="s">
        <v>230</v>
      </c>
      <c r="L82" s="24">
        <v>50935</v>
      </c>
    </row>
    <row r="83" spans="1:13" ht="15.75" customHeight="1">
      <c r="A83" s="8">
        <v>46084</v>
      </c>
      <c r="B83" s="10" t="s">
        <v>24</v>
      </c>
      <c r="C83" s="44"/>
      <c r="D83" s="44"/>
      <c r="E83" s="46" t="s">
        <v>231</v>
      </c>
      <c r="F83" s="47">
        <v>840</v>
      </c>
      <c r="G83" s="48">
        <v>0.2099</v>
      </c>
      <c r="H83" s="49">
        <v>176.316</v>
      </c>
      <c r="I83" s="43">
        <v>46092</v>
      </c>
      <c r="J83" s="44">
        <v>1400</v>
      </c>
      <c r="K83" s="164" t="s">
        <v>232</v>
      </c>
      <c r="L83" s="44">
        <v>58177</v>
      </c>
    </row>
    <row r="84" spans="1:13" ht="15.75" customHeight="1">
      <c r="A84" s="32">
        <v>46084</v>
      </c>
      <c r="B84" s="1" t="s">
        <v>24</v>
      </c>
      <c r="C84" s="1" t="s">
        <v>164</v>
      </c>
      <c r="E84" s="76" t="s">
        <v>233</v>
      </c>
      <c r="F84" s="51">
        <v>900</v>
      </c>
      <c r="G84" s="52">
        <v>0.69320000000000004</v>
      </c>
      <c r="H84" s="54">
        <v>623.88</v>
      </c>
      <c r="I84" s="32">
        <v>46092</v>
      </c>
      <c r="J84" s="1">
        <v>1401</v>
      </c>
      <c r="K84" s="32">
        <v>46174</v>
      </c>
      <c r="L84" s="1">
        <v>292678</v>
      </c>
    </row>
    <row r="85" spans="1:13" ht="15.75" customHeight="1">
      <c r="A85" s="32">
        <v>46084</v>
      </c>
      <c r="B85" s="1" t="s">
        <v>24</v>
      </c>
      <c r="E85" s="76" t="s">
        <v>234</v>
      </c>
      <c r="F85" s="51">
        <v>4000</v>
      </c>
      <c r="G85" s="52">
        <v>0.3024</v>
      </c>
      <c r="H85" s="54">
        <v>1209.5999999999999</v>
      </c>
      <c r="I85" s="32">
        <v>46092</v>
      </c>
      <c r="J85" s="1">
        <v>1401</v>
      </c>
      <c r="K85" s="32">
        <v>46171</v>
      </c>
      <c r="L85" s="1">
        <v>292491</v>
      </c>
    </row>
    <row r="86" spans="1:13" ht="15.75" customHeight="1">
      <c r="A86" s="32">
        <v>46084</v>
      </c>
      <c r="B86" s="1" t="s">
        <v>24</v>
      </c>
      <c r="E86" s="76" t="s">
        <v>235</v>
      </c>
      <c r="F86" s="51">
        <v>30</v>
      </c>
      <c r="G86" s="52">
        <v>2.7622</v>
      </c>
      <c r="H86" s="54">
        <v>82.866</v>
      </c>
      <c r="I86" s="32">
        <v>46092</v>
      </c>
      <c r="J86" s="1">
        <v>1401</v>
      </c>
      <c r="K86" s="32">
        <v>46174</v>
      </c>
      <c r="L86" s="1">
        <v>292678</v>
      </c>
    </row>
    <row r="87" spans="1:13" ht="15.75" customHeight="1">
      <c r="A87" s="32">
        <v>46084</v>
      </c>
      <c r="B87" s="1" t="s">
        <v>24</v>
      </c>
      <c r="E87" s="76" t="s">
        <v>236</v>
      </c>
      <c r="F87" s="51">
        <v>14000</v>
      </c>
      <c r="G87" s="52">
        <v>5.3400000000000003E-2</v>
      </c>
      <c r="H87" s="54">
        <v>747.6</v>
      </c>
      <c r="I87" s="32">
        <v>46092</v>
      </c>
      <c r="J87" s="1">
        <v>1401</v>
      </c>
      <c r="K87" s="32">
        <v>46174</v>
      </c>
      <c r="L87" s="1">
        <v>292678</v>
      </c>
    </row>
    <row r="88" spans="1:13" ht="15.75" customHeight="1">
      <c r="A88" s="8">
        <v>46084</v>
      </c>
      <c r="B88" s="10" t="s">
        <v>24</v>
      </c>
      <c r="C88" s="10"/>
      <c r="D88" s="10"/>
      <c r="E88" s="12" t="s">
        <v>237</v>
      </c>
      <c r="F88" s="34">
        <v>5000</v>
      </c>
      <c r="G88" s="16">
        <v>0.2457</v>
      </c>
      <c r="H88" s="18">
        <v>1228.5</v>
      </c>
      <c r="I88" s="8">
        <v>46092</v>
      </c>
      <c r="J88" s="10">
        <v>1401</v>
      </c>
      <c r="K88" s="8">
        <v>46174</v>
      </c>
      <c r="L88" s="10">
        <v>292678</v>
      </c>
    </row>
    <row r="89" spans="1:13" ht="15.75" customHeight="1">
      <c r="A89" s="8">
        <v>46084</v>
      </c>
      <c r="B89" s="10" t="s">
        <v>24</v>
      </c>
      <c r="C89" s="36" t="s">
        <v>173</v>
      </c>
      <c r="D89" s="36"/>
      <c r="E89" s="46" t="s">
        <v>238</v>
      </c>
      <c r="F89" s="38">
        <v>15000</v>
      </c>
      <c r="G89" s="39">
        <v>3.78E-2</v>
      </c>
      <c r="H89" s="40">
        <v>567</v>
      </c>
      <c r="I89" s="35">
        <v>46092</v>
      </c>
      <c r="J89" s="36">
        <v>1402</v>
      </c>
      <c r="K89" s="35">
        <v>46147</v>
      </c>
      <c r="L89" s="36">
        <v>131026</v>
      </c>
    </row>
    <row r="90" spans="1:13" ht="15.75" customHeight="1">
      <c r="A90" s="8">
        <v>46084</v>
      </c>
      <c r="B90" s="10" t="s">
        <v>24</v>
      </c>
      <c r="C90" s="53" t="s">
        <v>239</v>
      </c>
      <c r="D90" s="53"/>
      <c r="E90" s="12" t="s">
        <v>240</v>
      </c>
      <c r="F90" s="55">
        <v>1000</v>
      </c>
      <c r="G90" s="57">
        <v>0.18160000000000001</v>
      </c>
      <c r="H90" s="59">
        <v>181.6</v>
      </c>
      <c r="I90" s="50">
        <v>46092</v>
      </c>
      <c r="J90" s="53">
        <v>1403</v>
      </c>
      <c r="K90" s="50">
        <v>46100</v>
      </c>
      <c r="L90" s="53">
        <v>367806</v>
      </c>
    </row>
    <row r="91" spans="1:13" ht="15.75" customHeight="1">
      <c r="A91" s="56">
        <v>46084</v>
      </c>
      <c r="B91" s="58" t="s">
        <v>24</v>
      </c>
      <c r="C91" s="184" t="s">
        <v>185</v>
      </c>
      <c r="D91" s="184"/>
      <c r="E91" s="185" t="s">
        <v>186</v>
      </c>
      <c r="F91" s="186">
        <v>300</v>
      </c>
      <c r="G91" s="187">
        <v>4.8780000000000001</v>
      </c>
      <c r="H91" s="188">
        <v>1463.4</v>
      </c>
      <c r="I91" s="189">
        <v>46092</v>
      </c>
      <c r="J91" s="184">
        <v>1404</v>
      </c>
      <c r="K91" s="189">
        <v>46118</v>
      </c>
      <c r="L91" s="184">
        <v>1066172</v>
      </c>
    </row>
    <row r="92" spans="1:13" ht="15.75" customHeight="1">
      <c r="A92" s="146">
        <v>46085</v>
      </c>
      <c r="B92" s="147" t="s">
        <v>241</v>
      </c>
      <c r="C92" s="147" t="s">
        <v>242</v>
      </c>
      <c r="D92" s="147"/>
      <c r="E92" s="12" t="s">
        <v>243</v>
      </c>
      <c r="F92" s="149">
        <v>400</v>
      </c>
      <c r="G92" s="150">
        <v>0.9</v>
      </c>
      <c r="H92" s="151">
        <v>358.6</v>
      </c>
      <c r="I92" s="146">
        <v>46092</v>
      </c>
      <c r="J92" s="147">
        <v>1407</v>
      </c>
      <c r="K92" s="190" t="s">
        <v>244</v>
      </c>
      <c r="L92" s="147">
        <v>64498</v>
      </c>
    </row>
    <row r="93" spans="1:13" ht="15.75" customHeight="1">
      <c r="A93" s="32">
        <v>46085</v>
      </c>
      <c r="B93" s="1" t="s">
        <v>241</v>
      </c>
      <c r="C93" s="24" t="s">
        <v>245</v>
      </c>
      <c r="D93" s="24"/>
      <c r="E93" s="25" t="s">
        <v>246</v>
      </c>
      <c r="F93" s="26">
        <v>30</v>
      </c>
      <c r="G93" s="28">
        <v>125.35</v>
      </c>
      <c r="H93" s="30">
        <v>3760.5</v>
      </c>
      <c r="I93" s="22">
        <v>46092</v>
      </c>
      <c r="J93" s="24">
        <v>1406</v>
      </c>
      <c r="K93" s="22">
        <v>46162</v>
      </c>
      <c r="L93" s="24">
        <v>354322</v>
      </c>
    </row>
    <row r="94" spans="1:13" ht="15.75" customHeight="1">
      <c r="A94" s="8">
        <v>46085</v>
      </c>
      <c r="B94" s="10" t="s">
        <v>241</v>
      </c>
      <c r="C94" s="44" t="s">
        <v>245</v>
      </c>
      <c r="D94" s="44"/>
      <c r="E94" s="46" t="s">
        <v>247</v>
      </c>
      <c r="F94" s="47">
        <v>30</v>
      </c>
      <c r="G94" s="48">
        <v>19.329999999999998</v>
      </c>
      <c r="H94" s="49">
        <v>579.9</v>
      </c>
      <c r="I94" s="43">
        <v>46092</v>
      </c>
      <c r="J94" s="44">
        <v>1406</v>
      </c>
      <c r="K94" s="43">
        <v>46162</v>
      </c>
      <c r="L94" s="44">
        <v>354322</v>
      </c>
    </row>
    <row r="95" spans="1:13" ht="15.75" customHeight="1">
      <c r="A95" s="50">
        <v>46085</v>
      </c>
      <c r="B95" s="53" t="s">
        <v>241</v>
      </c>
      <c r="C95" s="53" t="s">
        <v>15</v>
      </c>
      <c r="D95" s="53"/>
      <c r="E95" s="66" t="s">
        <v>248</v>
      </c>
      <c r="F95" s="55">
        <v>1600</v>
      </c>
      <c r="G95" s="57">
        <v>0.13</v>
      </c>
      <c r="H95" s="59">
        <v>208</v>
      </c>
      <c r="I95" s="50">
        <v>46092</v>
      </c>
      <c r="J95" s="53">
        <v>1405</v>
      </c>
      <c r="K95" s="50">
        <v>46121</v>
      </c>
      <c r="L95" s="53">
        <v>153474</v>
      </c>
    </row>
    <row r="96" spans="1:13" ht="15.75" customHeight="1">
      <c r="A96" s="32">
        <v>46092</v>
      </c>
      <c r="B96" s="1" t="s">
        <v>249</v>
      </c>
      <c r="C96" s="24" t="s">
        <v>250</v>
      </c>
      <c r="D96" s="24"/>
      <c r="E96" s="25" t="s">
        <v>251</v>
      </c>
      <c r="F96" s="26">
        <v>30</v>
      </c>
      <c r="G96" s="28">
        <v>4.5</v>
      </c>
      <c r="H96" s="30">
        <v>135</v>
      </c>
      <c r="I96" s="22">
        <v>46092</v>
      </c>
      <c r="J96" s="24">
        <v>1570</v>
      </c>
      <c r="K96" s="163" t="s">
        <v>252</v>
      </c>
      <c r="L96" s="24" t="s">
        <v>253</v>
      </c>
      <c r="M96" s="1" t="s">
        <v>27</v>
      </c>
    </row>
    <row r="97" spans="1:17" ht="15.75" customHeight="1">
      <c r="A97" s="56">
        <v>46092</v>
      </c>
      <c r="B97" s="58" t="s">
        <v>249</v>
      </c>
      <c r="C97" s="191" t="s">
        <v>250</v>
      </c>
      <c r="D97" s="191"/>
      <c r="E97" s="185" t="s">
        <v>254</v>
      </c>
      <c r="F97" s="192">
        <v>30</v>
      </c>
      <c r="G97" s="193">
        <v>2.88</v>
      </c>
      <c r="H97" s="194">
        <v>86.4</v>
      </c>
      <c r="I97" s="195">
        <v>46092</v>
      </c>
      <c r="J97" s="191">
        <v>1570</v>
      </c>
      <c r="K97" s="196" t="s">
        <v>252</v>
      </c>
      <c r="L97" s="191" t="s">
        <v>253</v>
      </c>
    </row>
    <row r="98" spans="1:17" ht="15.75" customHeight="1">
      <c r="A98" s="32">
        <v>46092</v>
      </c>
      <c r="B98" s="1" t="s">
        <v>255</v>
      </c>
      <c r="C98" s="1" t="s">
        <v>256</v>
      </c>
      <c r="E98" s="76" t="s">
        <v>257</v>
      </c>
      <c r="F98" s="51">
        <v>100</v>
      </c>
      <c r="G98" s="52">
        <v>7.3216000000000001</v>
      </c>
      <c r="H98" s="54">
        <v>732.16</v>
      </c>
      <c r="I98" s="32">
        <v>46118</v>
      </c>
      <c r="J98" s="1">
        <v>1919</v>
      </c>
      <c r="K98" s="197" t="s">
        <v>258</v>
      </c>
      <c r="L98" s="1">
        <v>113093</v>
      </c>
    </row>
    <row r="99" spans="1:17" ht="15.75" customHeight="1">
      <c r="A99" s="8">
        <v>46092</v>
      </c>
      <c r="B99" s="10" t="s">
        <v>255</v>
      </c>
      <c r="C99" s="10" t="s">
        <v>256</v>
      </c>
      <c r="D99" s="10"/>
      <c r="E99" s="12" t="s">
        <v>259</v>
      </c>
      <c r="F99" s="34">
        <v>20</v>
      </c>
      <c r="G99" s="16">
        <v>1.04</v>
      </c>
      <c r="H99" s="18">
        <v>20.8</v>
      </c>
      <c r="I99" s="8">
        <v>46118</v>
      </c>
      <c r="J99" s="10">
        <v>1919</v>
      </c>
      <c r="K99" s="162" t="s">
        <v>260</v>
      </c>
      <c r="L99" s="10">
        <v>108303</v>
      </c>
    </row>
    <row r="100" spans="1:17" ht="15.75" customHeight="1">
      <c r="A100" s="50">
        <v>46092</v>
      </c>
      <c r="B100" s="53" t="s">
        <v>255</v>
      </c>
      <c r="C100" s="36" t="s">
        <v>261</v>
      </c>
      <c r="D100" s="44"/>
      <c r="E100" s="161" t="s">
        <v>262</v>
      </c>
      <c r="F100" s="47">
        <v>20000</v>
      </c>
      <c r="G100" s="48">
        <v>0.11</v>
      </c>
      <c r="H100" s="49">
        <v>2200</v>
      </c>
      <c r="I100" s="43">
        <v>46118</v>
      </c>
      <c r="J100" s="44">
        <v>1920</v>
      </c>
      <c r="K100" s="43">
        <v>46135</v>
      </c>
      <c r="L100" s="44">
        <v>11084</v>
      </c>
      <c r="M100" s="1"/>
      <c r="N100" s="1"/>
    </row>
    <row r="101" spans="1:17" ht="15.75" customHeight="1">
      <c r="A101" s="32">
        <v>46092</v>
      </c>
      <c r="B101" s="1" t="s">
        <v>255</v>
      </c>
      <c r="C101" s="1" t="s">
        <v>127</v>
      </c>
      <c r="D101" s="24"/>
      <c r="E101" s="76" t="s">
        <v>263</v>
      </c>
      <c r="F101" s="26">
        <v>200</v>
      </c>
      <c r="G101" s="28">
        <v>10.9</v>
      </c>
      <c r="H101" s="30">
        <v>2180</v>
      </c>
      <c r="I101" s="22">
        <v>46118</v>
      </c>
      <c r="J101" s="24">
        <v>1921</v>
      </c>
      <c r="K101" s="163" t="s">
        <v>264</v>
      </c>
      <c r="L101" s="24">
        <v>341794</v>
      </c>
      <c r="M101" s="1"/>
      <c r="N101" s="1"/>
    </row>
    <row r="102" spans="1:17" ht="15.75" customHeight="1">
      <c r="A102" s="198">
        <v>46092</v>
      </c>
      <c r="B102" s="69" t="s">
        <v>255</v>
      </c>
      <c r="C102" s="69" t="s">
        <v>127</v>
      </c>
      <c r="D102" s="69"/>
      <c r="E102" s="199" t="s">
        <v>263</v>
      </c>
      <c r="F102" s="168"/>
      <c r="G102" s="200">
        <v>10.9</v>
      </c>
      <c r="H102" s="169">
        <v>2180</v>
      </c>
      <c r="I102" s="198">
        <v>46118</v>
      </c>
      <c r="J102" s="69">
        <v>1921</v>
      </c>
      <c r="K102" s="201" t="s">
        <v>265</v>
      </c>
      <c r="L102" s="69">
        <v>342126</v>
      </c>
      <c r="M102" s="69" t="s">
        <v>266</v>
      </c>
      <c r="N102" s="69"/>
      <c r="O102" s="169">
        <f>SUM(H59:H102)</f>
        <v>37662.703999999998</v>
      </c>
      <c r="P102" s="1" t="s">
        <v>267</v>
      </c>
      <c r="Q102" s="1" t="s">
        <v>268</v>
      </c>
    </row>
    <row r="103" spans="1:17" ht="15.75" customHeight="1">
      <c r="A103" s="32">
        <v>46092</v>
      </c>
      <c r="B103" s="1" t="s">
        <v>255</v>
      </c>
      <c r="C103" s="24" t="s">
        <v>73</v>
      </c>
      <c r="D103" s="24"/>
      <c r="E103" s="25" t="s">
        <v>269</v>
      </c>
      <c r="F103" s="26">
        <v>1500</v>
      </c>
      <c r="G103" s="28">
        <v>0.13</v>
      </c>
      <c r="H103" s="30">
        <v>195</v>
      </c>
      <c r="I103" s="22">
        <v>46119</v>
      </c>
      <c r="J103" s="24">
        <v>1925</v>
      </c>
      <c r="K103" s="22" t="s">
        <v>270</v>
      </c>
      <c r="L103" s="24">
        <v>98810</v>
      </c>
    </row>
    <row r="104" spans="1:17" ht="15.75" customHeight="1">
      <c r="A104" s="32">
        <v>46092</v>
      </c>
      <c r="B104" s="1" t="s">
        <v>255</v>
      </c>
      <c r="C104" s="24" t="s">
        <v>73</v>
      </c>
      <c r="D104" s="24"/>
      <c r="E104" s="25" t="s">
        <v>271</v>
      </c>
      <c r="F104" s="26">
        <v>50</v>
      </c>
      <c r="G104" s="28">
        <v>6.67</v>
      </c>
      <c r="H104" s="30">
        <v>333.5</v>
      </c>
      <c r="I104" s="22">
        <v>46119</v>
      </c>
      <c r="J104" s="24">
        <v>1925</v>
      </c>
      <c r="K104" s="22" t="s">
        <v>272</v>
      </c>
      <c r="L104" s="24">
        <v>98810</v>
      </c>
    </row>
    <row r="105" spans="1:17" ht="15.75" customHeight="1">
      <c r="A105" s="32">
        <v>46092</v>
      </c>
      <c r="B105" s="1" t="s">
        <v>255</v>
      </c>
      <c r="C105" s="24" t="s">
        <v>73</v>
      </c>
      <c r="D105" s="24"/>
      <c r="E105" s="25" t="s">
        <v>273</v>
      </c>
      <c r="F105" s="26">
        <v>100</v>
      </c>
      <c r="G105" s="28">
        <v>1.6</v>
      </c>
      <c r="H105" s="30">
        <v>160</v>
      </c>
      <c r="I105" s="22">
        <v>46119</v>
      </c>
      <c r="J105" s="24">
        <v>1925</v>
      </c>
      <c r="K105" s="163" t="s">
        <v>274</v>
      </c>
      <c r="L105" s="24">
        <v>99119</v>
      </c>
    </row>
    <row r="106" spans="1:17" ht="15.75" customHeight="1">
      <c r="A106" s="8">
        <v>46092</v>
      </c>
      <c r="B106" s="10" t="s">
        <v>255</v>
      </c>
      <c r="C106" s="44" t="s">
        <v>73</v>
      </c>
      <c r="D106" s="44"/>
      <c r="E106" s="46" t="s">
        <v>275</v>
      </c>
      <c r="F106" s="47">
        <v>1000</v>
      </c>
      <c r="G106" s="48">
        <v>0.2</v>
      </c>
      <c r="H106" s="49">
        <v>200</v>
      </c>
      <c r="I106" s="43">
        <v>46119</v>
      </c>
      <c r="J106" s="44">
        <v>1925</v>
      </c>
      <c r="K106" s="43" t="s">
        <v>276</v>
      </c>
      <c r="L106" s="44">
        <v>98810</v>
      </c>
    </row>
    <row r="107" spans="1:17" ht="15.75" customHeight="1">
      <c r="A107" s="32">
        <v>46092</v>
      </c>
      <c r="B107" s="1" t="s">
        <v>255</v>
      </c>
      <c r="C107" s="1" t="s">
        <v>277</v>
      </c>
      <c r="E107" s="76" t="s">
        <v>278</v>
      </c>
      <c r="F107" s="51">
        <v>1000</v>
      </c>
      <c r="G107" s="52">
        <v>0.45</v>
      </c>
      <c r="H107" s="54">
        <v>450</v>
      </c>
      <c r="I107" s="32">
        <v>46118</v>
      </c>
      <c r="J107" s="1">
        <v>1922</v>
      </c>
      <c r="K107" s="32">
        <v>46121</v>
      </c>
      <c r="L107" s="1">
        <v>7812</v>
      </c>
    </row>
    <row r="108" spans="1:17" ht="15.75" customHeight="1">
      <c r="A108" s="32">
        <v>46092</v>
      </c>
      <c r="B108" s="1" t="s">
        <v>255</v>
      </c>
      <c r="C108" s="1" t="s">
        <v>277</v>
      </c>
      <c r="E108" s="76" t="s">
        <v>279</v>
      </c>
      <c r="F108" s="51">
        <v>30</v>
      </c>
      <c r="G108" s="52">
        <v>5.15</v>
      </c>
      <c r="H108" s="54">
        <v>154.5</v>
      </c>
      <c r="I108" s="32">
        <v>46118</v>
      </c>
      <c r="J108" s="1">
        <v>1922</v>
      </c>
      <c r="K108" s="32">
        <v>46121</v>
      </c>
      <c r="L108" s="1">
        <v>7812</v>
      </c>
    </row>
    <row r="109" spans="1:17" ht="15.75" customHeight="1">
      <c r="A109" s="8">
        <v>46092</v>
      </c>
      <c r="B109" s="10" t="s">
        <v>255</v>
      </c>
      <c r="C109" s="10" t="s">
        <v>277</v>
      </c>
      <c r="D109" s="10"/>
      <c r="E109" s="12" t="s">
        <v>280</v>
      </c>
      <c r="F109" s="34">
        <v>30</v>
      </c>
      <c r="G109" s="16">
        <v>2.6</v>
      </c>
      <c r="H109" s="18">
        <v>78</v>
      </c>
      <c r="I109" s="8">
        <v>46118</v>
      </c>
      <c r="J109" s="10">
        <v>1922</v>
      </c>
      <c r="K109" s="8">
        <v>46121</v>
      </c>
      <c r="L109" s="10">
        <v>7812</v>
      </c>
    </row>
    <row r="110" spans="1:17" ht="15.75" customHeight="1">
      <c r="A110" s="32">
        <v>46092</v>
      </c>
      <c r="B110" s="1" t="s">
        <v>255</v>
      </c>
      <c r="C110" s="24" t="s">
        <v>281</v>
      </c>
      <c r="D110" s="24"/>
      <c r="E110" s="25" t="s">
        <v>282</v>
      </c>
      <c r="F110" s="26">
        <v>150</v>
      </c>
      <c r="G110" s="28">
        <v>5.5</v>
      </c>
      <c r="H110" s="30">
        <v>825</v>
      </c>
      <c r="I110" s="22">
        <v>46118</v>
      </c>
      <c r="J110" s="24">
        <v>1923</v>
      </c>
      <c r="K110" s="163">
        <v>46198</v>
      </c>
      <c r="L110" s="24">
        <v>198613</v>
      </c>
    </row>
    <row r="111" spans="1:17" ht="15.75" customHeight="1">
      <c r="A111" s="8">
        <v>46092</v>
      </c>
      <c r="B111" s="10" t="s">
        <v>255</v>
      </c>
      <c r="C111" s="44" t="s">
        <v>281</v>
      </c>
      <c r="D111" s="44"/>
      <c r="E111" s="46" t="s">
        <v>283</v>
      </c>
      <c r="F111" s="47">
        <v>30</v>
      </c>
      <c r="G111" s="48">
        <v>12.9</v>
      </c>
      <c r="H111" s="49">
        <v>387</v>
      </c>
      <c r="I111" s="43">
        <v>46118</v>
      </c>
      <c r="J111" s="44">
        <v>1923</v>
      </c>
      <c r="K111" s="43">
        <v>46162</v>
      </c>
      <c r="L111" s="44">
        <v>197302</v>
      </c>
    </row>
    <row r="112" spans="1:17" ht="15.75" customHeight="1">
      <c r="A112" s="32">
        <v>46092</v>
      </c>
      <c r="B112" s="1" t="s">
        <v>255</v>
      </c>
      <c r="C112" s="1" t="s">
        <v>21</v>
      </c>
      <c r="E112" s="76" t="s">
        <v>284</v>
      </c>
      <c r="F112" s="51">
        <v>10000</v>
      </c>
      <c r="G112" s="52">
        <v>0.03</v>
      </c>
      <c r="H112" s="54">
        <v>300</v>
      </c>
      <c r="I112" s="32">
        <v>46118</v>
      </c>
      <c r="J112" s="1">
        <v>1924</v>
      </c>
      <c r="K112" s="32">
        <v>46181</v>
      </c>
      <c r="L112" s="1">
        <v>374744</v>
      </c>
    </row>
    <row r="113" spans="1:17" ht="15.75" customHeight="1">
      <c r="A113" s="32">
        <v>46092</v>
      </c>
      <c r="B113" s="1" t="s">
        <v>255</v>
      </c>
      <c r="C113" s="1" t="s">
        <v>21</v>
      </c>
      <c r="E113" s="76" t="s">
        <v>285</v>
      </c>
      <c r="F113" s="51">
        <v>25000</v>
      </c>
      <c r="G113" s="52">
        <v>0.04</v>
      </c>
      <c r="H113" s="54">
        <v>1000</v>
      </c>
      <c r="I113" s="32">
        <v>46118</v>
      </c>
      <c r="J113" s="1">
        <v>1924</v>
      </c>
      <c r="K113" s="32">
        <v>46141</v>
      </c>
      <c r="L113" s="1">
        <v>371379</v>
      </c>
    </row>
    <row r="114" spans="1:17" ht="15.75" customHeight="1">
      <c r="A114" s="32">
        <v>46092</v>
      </c>
      <c r="B114" s="1" t="s">
        <v>255</v>
      </c>
      <c r="C114" s="1" t="s">
        <v>21</v>
      </c>
      <c r="E114" s="76" t="s">
        <v>286</v>
      </c>
      <c r="F114" s="51">
        <v>4000</v>
      </c>
      <c r="G114" s="52">
        <v>0.12</v>
      </c>
      <c r="H114" s="54">
        <v>480</v>
      </c>
      <c r="I114" s="32">
        <v>46118</v>
      </c>
      <c r="J114" s="1">
        <v>1924</v>
      </c>
      <c r="K114" s="32">
        <v>46141</v>
      </c>
      <c r="L114" s="1">
        <v>371379</v>
      </c>
    </row>
    <row r="115" spans="1:17" ht="15.75" customHeight="1">
      <c r="A115" s="32">
        <v>46092</v>
      </c>
      <c r="B115" s="1" t="s">
        <v>255</v>
      </c>
      <c r="C115" s="1" t="s">
        <v>21</v>
      </c>
      <c r="E115" s="76" t="s">
        <v>287</v>
      </c>
      <c r="F115" s="51">
        <v>100</v>
      </c>
      <c r="G115" s="52">
        <v>1.2</v>
      </c>
      <c r="H115" s="54">
        <v>120</v>
      </c>
      <c r="I115" s="32">
        <v>46118</v>
      </c>
      <c r="J115" s="1">
        <v>1924</v>
      </c>
      <c r="K115" s="32">
        <v>46135</v>
      </c>
      <c r="L115" s="1">
        <v>370774</v>
      </c>
    </row>
    <row r="116" spans="1:17" ht="15.75" customHeight="1">
      <c r="A116" s="32">
        <v>46092</v>
      </c>
      <c r="B116" s="1" t="s">
        <v>255</v>
      </c>
      <c r="C116" s="1" t="s">
        <v>21</v>
      </c>
      <c r="E116" s="76" t="s">
        <v>288</v>
      </c>
      <c r="F116" s="51">
        <v>400</v>
      </c>
      <c r="G116" s="52">
        <v>0.69</v>
      </c>
      <c r="H116" s="54">
        <v>276</v>
      </c>
      <c r="I116" s="32">
        <v>46118</v>
      </c>
      <c r="J116" s="1">
        <v>1924</v>
      </c>
      <c r="K116" s="32">
        <v>46135</v>
      </c>
      <c r="L116" s="1">
        <v>370774</v>
      </c>
    </row>
    <row r="117" spans="1:17" ht="15.75" customHeight="1">
      <c r="A117" s="198">
        <v>46092</v>
      </c>
      <c r="B117" s="69" t="s">
        <v>255</v>
      </c>
      <c r="C117" s="69" t="s">
        <v>21</v>
      </c>
      <c r="D117" s="69"/>
      <c r="E117" s="199" t="s">
        <v>289</v>
      </c>
      <c r="F117" s="168">
        <v>3000</v>
      </c>
      <c r="G117" s="200">
        <v>0.26</v>
      </c>
      <c r="H117" s="169">
        <v>780</v>
      </c>
      <c r="I117" s="198">
        <v>46118</v>
      </c>
      <c r="J117" s="69">
        <v>1924</v>
      </c>
      <c r="K117" s="198">
        <v>46135</v>
      </c>
      <c r="L117" s="69">
        <v>370774</v>
      </c>
      <c r="M117" s="69" t="s">
        <v>266</v>
      </c>
      <c r="N117" s="69"/>
      <c r="O117" s="169">
        <f>SUM(H103:H117)</f>
        <v>5739</v>
      </c>
      <c r="P117" s="1" t="s">
        <v>192</v>
      </c>
      <c r="Q117" s="1" t="s">
        <v>290</v>
      </c>
    </row>
    <row r="118" spans="1:17" ht="15.75" customHeight="1">
      <c r="A118" s="22">
        <v>46189</v>
      </c>
      <c r="B118" s="24" t="s">
        <v>291</v>
      </c>
      <c r="C118" s="24" t="s">
        <v>292</v>
      </c>
      <c r="D118" s="24"/>
      <c r="E118" s="202" t="s">
        <v>293</v>
      </c>
      <c r="F118" s="26">
        <v>15</v>
      </c>
      <c r="G118" s="28">
        <v>7.81</v>
      </c>
      <c r="H118" s="30">
        <v>117.5</v>
      </c>
      <c r="I118" s="22">
        <v>46197</v>
      </c>
      <c r="J118" s="24">
        <v>3684</v>
      </c>
      <c r="K118" s="22">
        <v>46226</v>
      </c>
      <c r="L118" s="24">
        <v>7035</v>
      </c>
    </row>
    <row r="119" spans="1:17" ht="15.75" customHeight="1">
      <c r="A119" s="114">
        <v>46189</v>
      </c>
      <c r="B119" s="115" t="s">
        <v>291</v>
      </c>
      <c r="C119" s="115" t="s">
        <v>292</v>
      </c>
      <c r="D119" s="115"/>
      <c r="E119" s="203" t="s">
        <v>294</v>
      </c>
      <c r="F119" s="204">
        <v>15000</v>
      </c>
      <c r="G119" s="167">
        <v>0.26</v>
      </c>
      <c r="H119" s="120">
        <v>3900</v>
      </c>
      <c r="I119" s="114">
        <v>46197</v>
      </c>
      <c r="J119" s="115">
        <v>3684</v>
      </c>
      <c r="K119" s="114">
        <v>46226</v>
      </c>
      <c r="L119" s="115">
        <v>7035</v>
      </c>
      <c r="M119" s="69"/>
      <c r="N119" s="69"/>
      <c r="O119" s="177">
        <v>4017.5</v>
      </c>
      <c r="P119" s="1" t="s">
        <v>295</v>
      </c>
      <c r="Q119" s="1" t="s">
        <v>296</v>
      </c>
    </row>
    <row r="120" spans="1:17" ht="15.75" customHeight="1">
      <c r="A120" s="8">
        <v>46157</v>
      </c>
      <c r="B120" s="10" t="s">
        <v>28</v>
      </c>
      <c r="C120" s="10" t="s">
        <v>297</v>
      </c>
      <c r="D120" s="10"/>
      <c r="E120" s="33" t="s">
        <v>29</v>
      </c>
      <c r="F120" s="34">
        <v>200</v>
      </c>
      <c r="G120" s="16">
        <v>0.34</v>
      </c>
      <c r="H120" s="18">
        <v>68</v>
      </c>
      <c r="I120" s="8">
        <v>46184</v>
      </c>
      <c r="J120" s="10">
        <v>3135</v>
      </c>
      <c r="K120" s="8"/>
      <c r="L120" s="10"/>
      <c r="M120" s="1" t="s">
        <v>30</v>
      </c>
      <c r="N120" s="1"/>
      <c r="O120" s="1"/>
    </row>
    <row r="121" spans="1:17" ht="15.75" customHeight="1">
      <c r="A121" s="35">
        <v>46157</v>
      </c>
      <c r="B121" s="36" t="s">
        <v>28</v>
      </c>
      <c r="C121" s="36" t="s">
        <v>15</v>
      </c>
      <c r="D121" s="36"/>
      <c r="E121" s="205" t="s">
        <v>298</v>
      </c>
      <c r="F121" s="38">
        <v>720</v>
      </c>
      <c r="G121" s="39">
        <v>0.28999999999999998</v>
      </c>
      <c r="H121" s="40">
        <v>207.14400000000001</v>
      </c>
      <c r="I121" s="35">
        <v>46184</v>
      </c>
      <c r="J121" s="36">
        <v>3136</v>
      </c>
      <c r="K121" s="35">
        <v>46184</v>
      </c>
      <c r="L121" s="36">
        <v>171156</v>
      </c>
    </row>
    <row r="122" spans="1:17" ht="15.75" customHeight="1">
      <c r="A122" s="50">
        <v>46157</v>
      </c>
      <c r="B122" s="53" t="s">
        <v>28</v>
      </c>
      <c r="C122" s="53" t="s">
        <v>57</v>
      </c>
      <c r="D122" s="53"/>
      <c r="E122" s="206" t="s">
        <v>299</v>
      </c>
      <c r="F122" s="55">
        <v>100</v>
      </c>
      <c r="G122" s="57">
        <v>1.7857000000000001</v>
      </c>
      <c r="H122" s="59">
        <v>178.57</v>
      </c>
      <c r="I122" s="50">
        <v>46184</v>
      </c>
      <c r="J122" s="53">
        <v>3137</v>
      </c>
      <c r="K122" s="50">
        <v>46233</v>
      </c>
      <c r="L122" s="53">
        <v>73335</v>
      </c>
    </row>
    <row r="123" spans="1:17" ht="15.75" customHeight="1">
      <c r="A123" s="35">
        <v>46157</v>
      </c>
      <c r="B123" s="36" t="s">
        <v>28</v>
      </c>
      <c r="C123" s="36" t="s">
        <v>185</v>
      </c>
      <c r="D123" s="36"/>
      <c r="E123" s="37" t="s">
        <v>44</v>
      </c>
      <c r="F123" s="38">
        <v>20</v>
      </c>
      <c r="G123" s="39">
        <v>12.03</v>
      </c>
      <c r="H123" s="40">
        <v>240.6</v>
      </c>
      <c r="I123" s="35">
        <v>46184</v>
      </c>
      <c r="J123" s="36">
        <v>3138</v>
      </c>
      <c r="K123" s="35">
        <v>46192</v>
      </c>
      <c r="L123" s="36">
        <v>1090120</v>
      </c>
    </row>
    <row r="124" spans="1:17" ht="15.75" customHeight="1">
      <c r="A124" s="32">
        <v>46157</v>
      </c>
      <c r="B124" s="1" t="s">
        <v>28</v>
      </c>
      <c r="C124" s="1" t="s">
        <v>85</v>
      </c>
      <c r="E124" s="33" t="s">
        <v>87</v>
      </c>
      <c r="F124" s="51">
        <v>200</v>
      </c>
      <c r="G124" s="52">
        <v>3.53</v>
      </c>
      <c r="H124" s="54">
        <v>706</v>
      </c>
      <c r="I124" s="32">
        <v>46184</v>
      </c>
      <c r="J124" s="1">
        <v>3139</v>
      </c>
      <c r="K124" s="32">
        <v>46189</v>
      </c>
      <c r="L124" s="1">
        <v>1015611</v>
      </c>
    </row>
    <row r="125" spans="1:17" ht="15.75" customHeight="1">
      <c r="A125" s="195">
        <v>46157</v>
      </c>
      <c r="B125" s="191" t="s">
        <v>28</v>
      </c>
      <c r="C125" s="191"/>
      <c r="D125" s="191"/>
      <c r="E125" s="207" t="s">
        <v>300</v>
      </c>
      <c r="F125" s="192">
        <v>20</v>
      </c>
      <c r="G125" s="193">
        <v>15.79</v>
      </c>
      <c r="H125" s="194">
        <v>315.8</v>
      </c>
      <c r="I125" s="195">
        <v>46184</v>
      </c>
      <c r="J125" s="191">
        <v>3139</v>
      </c>
      <c r="K125" s="195">
        <v>46188</v>
      </c>
      <c r="L125" s="191">
        <v>1015119</v>
      </c>
    </row>
    <row r="126" spans="1:17" ht="15.75" customHeight="1">
      <c r="A126" s="8">
        <v>46157</v>
      </c>
      <c r="B126" s="147" t="s">
        <v>32</v>
      </c>
      <c r="C126" s="147" t="s">
        <v>127</v>
      </c>
      <c r="D126" s="147"/>
      <c r="E126" s="148" t="s">
        <v>263</v>
      </c>
      <c r="F126" s="149">
        <v>100</v>
      </c>
      <c r="G126" s="150">
        <v>10.9</v>
      </c>
      <c r="H126" s="151">
        <v>1090</v>
      </c>
      <c r="I126" s="146">
        <v>46163</v>
      </c>
      <c r="J126" s="147">
        <v>3140</v>
      </c>
      <c r="K126" s="146">
        <v>46169</v>
      </c>
      <c r="L126" s="147">
        <v>345404</v>
      </c>
    </row>
    <row r="127" spans="1:17" ht="15.75" customHeight="1">
      <c r="A127" s="35">
        <v>46157</v>
      </c>
      <c r="B127" s="36" t="s">
        <v>32</v>
      </c>
      <c r="C127" s="36" t="s">
        <v>301</v>
      </c>
      <c r="D127" s="36"/>
      <c r="E127" s="37" t="s">
        <v>234</v>
      </c>
      <c r="F127" s="38">
        <v>4000</v>
      </c>
      <c r="G127" s="39">
        <v>0.33400000000000002</v>
      </c>
      <c r="H127" s="40">
        <v>1336</v>
      </c>
      <c r="I127" s="35">
        <v>46163</v>
      </c>
      <c r="J127" s="36">
        <v>3141</v>
      </c>
      <c r="K127" s="35">
        <v>46169</v>
      </c>
      <c r="L127" s="36">
        <v>337643</v>
      </c>
    </row>
    <row r="128" spans="1:17" ht="15.75" customHeight="1">
      <c r="A128" s="32">
        <v>46157</v>
      </c>
      <c r="B128" s="1" t="s">
        <v>32</v>
      </c>
      <c r="C128" s="1" t="s">
        <v>256</v>
      </c>
      <c r="E128" s="33" t="s">
        <v>302</v>
      </c>
      <c r="F128" s="51">
        <v>50</v>
      </c>
      <c r="G128" s="52">
        <v>1.339</v>
      </c>
      <c r="H128" s="52">
        <v>66.95</v>
      </c>
      <c r="I128" s="32">
        <v>46163</v>
      </c>
      <c r="J128" s="1">
        <v>3142</v>
      </c>
      <c r="K128" s="32">
        <v>46174</v>
      </c>
      <c r="L128" s="1">
        <v>111415</v>
      </c>
    </row>
    <row r="129" spans="1:13" ht="15.75" customHeight="1">
      <c r="A129" s="8">
        <v>46157</v>
      </c>
      <c r="B129" s="10" t="s">
        <v>32</v>
      </c>
      <c r="C129" s="10"/>
      <c r="D129" s="10"/>
      <c r="E129" s="208" t="s">
        <v>303</v>
      </c>
      <c r="F129" s="34">
        <v>20</v>
      </c>
      <c r="G129" s="16">
        <v>6.1</v>
      </c>
      <c r="H129" s="16">
        <v>122</v>
      </c>
      <c r="I129" s="8">
        <v>46163</v>
      </c>
      <c r="J129" s="10">
        <v>3142</v>
      </c>
      <c r="K129" s="8">
        <v>46174</v>
      </c>
      <c r="L129" s="10">
        <v>111415</v>
      </c>
    </row>
    <row r="130" spans="1:13" ht="15.75" customHeight="1">
      <c r="A130" s="35">
        <v>46157</v>
      </c>
      <c r="B130" s="36" t="s">
        <v>32</v>
      </c>
      <c r="C130" s="36" t="s">
        <v>304</v>
      </c>
      <c r="D130" s="36"/>
      <c r="E130" s="37" t="s">
        <v>33</v>
      </c>
      <c r="F130" s="38">
        <v>10</v>
      </c>
      <c r="G130" s="39">
        <v>22</v>
      </c>
      <c r="H130" s="40">
        <v>220</v>
      </c>
      <c r="I130" s="35">
        <v>46163</v>
      </c>
      <c r="J130" s="36">
        <v>3143</v>
      </c>
      <c r="K130" s="35"/>
      <c r="L130" s="36"/>
      <c r="M130" s="209" t="s">
        <v>30</v>
      </c>
    </row>
    <row r="131" spans="1:13" ht="15.75" customHeight="1">
      <c r="A131" s="32">
        <v>46157</v>
      </c>
      <c r="B131" s="1" t="s">
        <v>32</v>
      </c>
      <c r="C131" s="1" t="s">
        <v>305</v>
      </c>
      <c r="E131" s="33" t="s">
        <v>306</v>
      </c>
      <c r="F131" s="51">
        <v>20</v>
      </c>
      <c r="G131" s="52">
        <v>2.5499999999999998</v>
      </c>
      <c r="H131" s="54">
        <v>51</v>
      </c>
      <c r="I131" s="32">
        <v>46163</v>
      </c>
      <c r="J131" s="1">
        <v>3144</v>
      </c>
      <c r="K131" s="32">
        <v>46217</v>
      </c>
      <c r="L131" s="1">
        <v>8460</v>
      </c>
    </row>
    <row r="132" spans="1:13" ht="15.75" customHeight="1">
      <c r="A132" s="32">
        <v>46157</v>
      </c>
      <c r="B132" s="1" t="s">
        <v>32</v>
      </c>
      <c r="E132" s="33" t="s">
        <v>280</v>
      </c>
      <c r="F132" s="51">
        <v>30</v>
      </c>
      <c r="G132" s="52">
        <v>2.6</v>
      </c>
      <c r="H132" s="54">
        <v>78</v>
      </c>
      <c r="I132" s="32">
        <v>46163</v>
      </c>
      <c r="J132" s="1">
        <v>3144</v>
      </c>
      <c r="K132" s="32">
        <v>46217</v>
      </c>
      <c r="L132" s="1">
        <v>8379</v>
      </c>
    </row>
    <row r="133" spans="1:13" ht="15.75" customHeight="1">
      <c r="A133" s="8">
        <v>46157</v>
      </c>
      <c r="B133" s="10" t="s">
        <v>32</v>
      </c>
      <c r="C133" s="10"/>
      <c r="D133" s="10"/>
      <c r="E133" s="208" t="s">
        <v>254</v>
      </c>
      <c r="F133" s="34">
        <v>30</v>
      </c>
      <c r="G133" s="16">
        <v>2.88</v>
      </c>
      <c r="H133" s="18">
        <v>86.4</v>
      </c>
      <c r="I133" s="8">
        <v>46163</v>
      </c>
      <c r="J133" s="10">
        <v>3144</v>
      </c>
      <c r="K133" s="8">
        <v>46217</v>
      </c>
      <c r="L133" s="10">
        <v>8379</v>
      </c>
    </row>
    <row r="134" spans="1:13" ht="15.75" customHeight="1">
      <c r="A134" s="41">
        <v>46157</v>
      </c>
      <c r="B134" s="24" t="s">
        <v>32</v>
      </c>
      <c r="C134" s="24" t="s">
        <v>73</v>
      </c>
      <c r="D134" s="24"/>
      <c r="E134" s="42" t="s">
        <v>251</v>
      </c>
      <c r="F134" s="26">
        <v>30</v>
      </c>
      <c r="G134" s="28">
        <v>4.5</v>
      </c>
      <c r="H134" s="30">
        <v>135</v>
      </c>
      <c r="I134" s="22">
        <v>46163</v>
      </c>
      <c r="J134" s="24">
        <v>3145</v>
      </c>
      <c r="K134" s="22">
        <v>46174</v>
      </c>
      <c r="L134" s="24">
        <v>99850</v>
      </c>
    </row>
    <row r="135" spans="1:13" ht="15.75" customHeight="1">
      <c r="A135" s="22">
        <v>46157</v>
      </c>
      <c r="B135" s="24" t="s">
        <v>32</v>
      </c>
      <c r="C135" s="24"/>
      <c r="D135" s="24"/>
      <c r="E135" s="42" t="s">
        <v>248</v>
      </c>
      <c r="F135" s="26">
        <v>1500</v>
      </c>
      <c r="G135" s="28">
        <v>0.13</v>
      </c>
      <c r="H135" s="30">
        <v>195</v>
      </c>
      <c r="I135" s="22">
        <v>46163</v>
      </c>
      <c r="J135" s="24">
        <v>3145</v>
      </c>
      <c r="K135" s="22">
        <v>46216</v>
      </c>
      <c r="L135" s="24">
        <v>100554</v>
      </c>
    </row>
    <row r="136" spans="1:13" ht="15.75" customHeight="1">
      <c r="A136" s="22">
        <v>46157</v>
      </c>
      <c r="B136" s="24" t="s">
        <v>32</v>
      </c>
      <c r="C136" s="24"/>
      <c r="D136" s="24"/>
      <c r="E136" s="42" t="s">
        <v>307</v>
      </c>
      <c r="F136" s="26">
        <v>1000</v>
      </c>
      <c r="G136" s="28">
        <v>0.09</v>
      </c>
      <c r="H136" s="30">
        <v>90</v>
      </c>
      <c r="I136" s="22">
        <v>46163</v>
      </c>
      <c r="J136" s="24">
        <v>3145</v>
      </c>
      <c r="K136" s="22">
        <v>46174</v>
      </c>
      <c r="L136" s="24">
        <v>99850</v>
      </c>
    </row>
    <row r="137" spans="1:13" ht="15.75" customHeight="1">
      <c r="A137" s="43">
        <v>46157</v>
      </c>
      <c r="B137" s="44" t="s">
        <v>32</v>
      </c>
      <c r="C137" s="44"/>
      <c r="D137" s="44"/>
      <c r="E137" s="210" t="s">
        <v>308</v>
      </c>
      <c r="F137" s="124">
        <v>12000</v>
      </c>
      <c r="G137" s="48">
        <v>0.1</v>
      </c>
      <c r="H137" s="49">
        <v>1200</v>
      </c>
      <c r="I137" s="43">
        <v>46163</v>
      </c>
      <c r="J137" s="44">
        <v>3145</v>
      </c>
      <c r="K137" s="43">
        <v>46174</v>
      </c>
      <c r="L137" s="44">
        <v>99850</v>
      </c>
    </row>
    <row r="138" spans="1:13" ht="15.75" customHeight="1">
      <c r="A138" s="80">
        <v>46157</v>
      </c>
      <c r="B138" s="1" t="s">
        <v>32</v>
      </c>
      <c r="C138" s="1" t="s">
        <v>309</v>
      </c>
      <c r="E138" s="76" t="s">
        <v>310</v>
      </c>
      <c r="F138" s="51">
        <v>200</v>
      </c>
      <c r="G138" s="211">
        <v>1.1409</v>
      </c>
      <c r="H138" s="54">
        <v>228.18</v>
      </c>
      <c r="I138" s="32">
        <v>46163</v>
      </c>
      <c r="J138" s="1">
        <v>3146</v>
      </c>
      <c r="K138" s="32">
        <v>46199</v>
      </c>
      <c r="L138" s="1">
        <v>11253</v>
      </c>
    </row>
    <row r="139" spans="1:13" ht="15.75" customHeight="1">
      <c r="A139" s="32">
        <v>46157</v>
      </c>
      <c r="B139" s="1" t="s">
        <v>32</v>
      </c>
      <c r="E139" s="33" t="s">
        <v>311</v>
      </c>
      <c r="F139" s="51">
        <v>30</v>
      </c>
      <c r="G139" s="211">
        <v>4.3499999999999996</v>
      </c>
      <c r="H139" s="54">
        <v>130.5</v>
      </c>
      <c r="I139" s="32">
        <v>46228</v>
      </c>
      <c r="J139" s="91">
        <v>3790</v>
      </c>
      <c r="K139" s="32">
        <v>46213</v>
      </c>
      <c r="L139" s="1">
        <v>11300</v>
      </c>
    </row>
    <row r="140" spans="1:13" ht="15.75" customHeight="1">
      <c r="A140" s="32">
        <v>46157</v>
      </c>
      <c r="B140" s="1" t="s">
        <v>32</v>
      </c>
      <c r="E140" s="33" t="s">
        <v>312</v>
      </c>
      <c r="F140" s="51">
        <v>300</v>
      </c>
      <c r="G140" s="211">
        <v>0.28999999999999998</v>
      </c>
      <c r="H140" s="54">
        <v>87</v>
      </c>
      <c r="I140" s="32">
        <v>46163</v>
      </c>
      <c r="J140" s="1">
        <v>3146</v>
      </c>
      <c r="K140" s="32">
        <v>46199</v>
      </c>
      <c r="L140" s="1">
        <v>11253</v>
      </c>
    </row>
    <row r="141" spans="1:13" ht="15.75" customHeight="1">
      <c r="A141" s="32">
        <v>46157</v>
      </c>
      <c r="B141" s="1" t="s">
        <v>32</v>
      </c>
      <c r="E141" s="33" t="s">
        <v>313</v>
      </c>
      <c r="F141" s="77">
        <v>2000</v>
      </c>
      <c r="G141" s="52">
        <v>0.09</v>
      </c>
      <c r="H141" s="54">
        <v>180</v>
      </c>
      <c r="I141" s="32">
        <v>46163</v>
      </c>
      <c r="J141" s="1">
        <v>3146</v>
      </c>
      <c r="K141" s="32">
        <v>46199</v>
      </c>
      <c r="L141" s="1">
        <v>11253</v>
      </c>
    </row>
    <row r="142" spans="1:13" ht="15.75" customHeight="1">
      <c r="A142" s="32">
        <v>46157</v>
      </c>
      <c r="B142" s="1" t="s">
        <v>32</v>
      </c>
      <c r="E142" s="33" t="s">
        <v>314</v>
      </c>
      <c r="F142" s="77">
        <v>100</v>
      </c>
      <c r="G142" s="52">
        <v>2.98</v>
      </c>
      <c r="H142" s="54">
        <v>298</v>
      </c>
      <c r="I142" s="32">
        <v>46163</v>
      </c>
      <c r="J142" s="1">
        <v>3146</v>
      </c>
      <c r="K142" s="32">
        <v>46199</v>
      </c>
      <c r="L142" s="1">
        <v>11274</v>
      </c>
    </row>
    <row r="143" spans="1:13" ht="15.75" customHeight="1">
      <c r="A143" s="8">
        <v>46157</v>
      </c>
      <c r="B143" s="10" t="s">
        <v>32</v>
      </c>
      <c r="C143" s="10"/>
      <c r="D143" s="10"/>
      <c r="E143" s="208" t="s">
        <v>314</v>
      </c>
      <c r="F143" s="34">
        <v>200</v>
      </c>
      <c r="G143" s="16">
        <v>2.98</v>
      </c>
      <c r="H143" s="18">
        <v>596</v>
      </c>
      <c r="I143" s="8">
        <v>46163</v>
      </c>
      <c r="J143" s="10">
        <v>3146</v>
      </c>
      <c r="K143" s="8">
        <v>46199</v>
      </c>
      <c r="L143" s="10">
        <v>11253</v>
      </c>
    </row>
    <row r="144" spans="1:13" ht="15.75" customHeight="1">
      <c r="A144" s="41">
        <v>46157</v>
      </c>
      <c r="B144" s="24" t="s">
        <v>32</v>
      </c>
      <c r="C144" s="24" t="s">
        <v>315</v>
      </c>
      <c r="D144" s="24"/>
      <c r="E144" s="42" t="s">
        <v>34</v>
      </c>
      <c r="F144" s="26">
        <v>1000</v>
      </c>
      <c r="G144" s="28">
        <v>0.28000000000000003</v>
      </c>
      <c r="H144" s="30">
        <v>280</v>
      </c>
      <c r="I144" s="22">
        <v>46163</v>
      </c>
      <c r="J144" s="24">
        <v>3147</v>
      </c>
      <c r="K144" s="22"/>
      <c r="L144" s="24"/>
    </row>
    <row r="145" spans="1:13" ht="15.75" customHeight="1">
      <c r="A145" s="43">
        <v>46157</v>
      </c>
      <c r="B145" s="44" t="s">
        <v>32</v>
      </c>
      <c r="C145" s="44"/>
      <c r="D145" s="44"/>
      <c r="E145" s="210" t="s">
        <v>174</v>
      </c>
      <c r="F145" s="47">
        <v>150</v>
      </c>
      <c r="G145" s="48">
        <v>3.7</v>
      </c>
      <c r="H145" s="49">
        <v>555</v>
      </c>
      <c r="I145" s="43">
        <v>46163</v>
      </c>
      <c r="J145" s="44">
        <v>3147</v>
      </c>
      <c r="K145" s="43">
        <v>46195</v>
      </c>
      <c r="L145" s="44">
        <v>67569</v>
      </c>
    </row>
    <row r="146" spans="1:13" ht="15.75" customHeight="1">
      <c r="A146" s="50">
        <v>46157</v>
      </c>
      <c r="B146" s="53" t="s">
        <v>32</v>
      </c>
      <c r="C146" s="53" t="s">
        <v>164</v>
      </c>
      <c r="D146" s="53"/>
      <c r="E146" s="206" t="s">
        <v>143</v>
      </c>
      <c r="F146" s="55">
        <v>40</v>
      </c>
      <c r="G146" s="57">
        <v>14.9</v>
      </c>
      <c r="H146" s="59">
        <v>596</v>
      </c>
      <c r="I146" s="50">
        <v>46163</v>
      </c>
      <c r="J146" s="53">
        <v>3148</v>
      </c>
      <c r="K146" s="50"/>
      <c r="L146" s="53" t="s">
        <v>316</v>
      </c>
      <c r="M146" s="1"/>
    </row>
    <row r="147" spans="1:13" ht="15.75" customHeight="1">
      <c r="A147" s="22">
        <v>46157</v>
      </c>
      <c r="B147" s="24" t="s">
        <v>32</v>
      </c>
      <c r="C147" s="24" t="s">
        <v>21</v>
      </c>
      <c r="D147" s="24"/>
      <c r="E147" s="42" t="s">
        <v>317</v>
      </c>
      <c r="F147" s="153">
        <v>4000</v>
      </c>
      <c r="G147" s="28">
        <v>0.06</v>
      </c>
      <c r="H147" s="30">
        <v>240</v>
      </c>
      <c r="I147" s="22">
        <v>46163</v>
      </c>
      <c r="J147" s="24">
        <v>3149</v>
      </c>
      <c r="K147" s="22">
        <v>46189</v>
      </c>
      <c r="L147" s="24">
        <v>376752</v>
      </c>
    </row>
    <row r="148" spans="1:13" ht="15.75" customHeight="1">
      <c r="A148" s="43">
        <v>46157</v>
      </c>
      <c r="B148" s="44" t="s">
        <v>32</v>
      </c>
      <c r="C148" s="44"/>
      <c r="D148" s="44"/>
      <c r="E148" s="45" t="s">
        <v>35</v>
      </c>
      <c r="F148" s="47">
        <v>50</v>
      </c>
      <c r="G148" s="48">
        <v>5</v>
      </c>
      <c r="H148" s="49">
        <v>250</v>
      </c>
      <c r="I148" s="43">
        <v>46163</v>
      </c>
      <c r="J148" s="44">
        <v>3149</v>
      </c>
      <c r="K148" s="43"/>
      <c r="L148" s="44"/>
    </row>
    <row r="149" spans="1:13" ht="15.75" customHeight="1">
      <c r="A149" s="80">
        <v>46157</v>
      </c>
      <c r="B149" s="1" t="s">
        <v>32</v>
      </c>
      <c r="C149" s="1" t="s">
        <v>318</v>
      </c>
      <c r="E149" s="33" t="s">
        <v>319</v>
      </c>
      <c r="F149" s="51">
        <v>600</v>
      </c>
      <c r="G149" s="52">
        <v>0.9</v>
      </c>
      <c r="H149" s="54">
        <v>54</v>
      </c>
      <c r="I149" s="32">
        <v>46163</v>
      </c>
      <c r="J149" s="1">
        <v>3150</v>
      </c>
      <c r="K149" s="32">
        <v>46206</v>
      </c>
      <c r="L149" s="209">
        <v>199771</v>
      </c>
      <c r="M149" s="1" t="s">
        <v>30</v>
      </c>
    </row>
    <row r="150" spans="1:13" ht="15.75" customHeight="1">
      <c r="A150" s="32">
        <v>46157</v>
      </c>
      <c r="B150" s="1" t="s">
        <v>32</v>
      </c>
      <c r="E150" s="33" t="s">
        <v>320</v>
      </c>
      <c r="F150" s="51">
        <v>1000</v>
      </c>
      <c r="G150" s="52">
        <v>0.05</v>
      </c>
      <c r="H150" s="54">
        <v>50</v>
      </c>
      <c r="I150" s="32">
        <v>46163</v>
      </c>
      <c r="J150" s="1">
        <v>3150</v>
      </c>
      <c r="K150" s="32">
        <v>46206</v>
      </c>
      <c r="L150" s="209">
        <v>199771</v>
      </c>
    </row>
    <row r="151" spans="1:13" ht="15.75" customHeight="1">
      <c r="A151" s="32">
        <v>46157</v>
      </c>
      <c r="B151" s="1" t="s">
        <v>32</v>
      </c>
      <c r="E151" s="33" t="s">
        <v>37</v>
      </c>
      <c r="F151" s="51">
        <v>20</v>
      </c>
      <c r="G151" s="52">
        <v>4.24</v>
      </c>
      <c r="H151" s="54">
        <v>84.8</v>
      </c>
      <c r="I151" s="32">
        <v>46163</v>
      </c>
      <c r="J151" s="1">
        <v>3150</v>
      </c>
      <c r="K151" s="32"/>
    </row>
    <row r="152" spans="1:13" ht="15.75" customHeight="1">
      <c r="A152" s="56">
        <v>46157</v>
      </c>
      <c r="B152" s="58" t="s">
        <v>32</v>
      </c>
      <c r="C152" s="58"/>
      <c r="D152" s="58"/>
      <c r="E152" s="60" t="s">
        <v>41</v>
      </c>
      <c r="F152" s="61">
        <v>100</v>
      </c>
      <c r="G152" s="62">
        <v>8.2000000000000003E-2</v>
      </c>
      <c r="H152" s="63">
        <v>82</v>
      </c>
      <c r="I152" s="56">
        <v>46163</v>
      </c>
      <c r="J152" s="58">
        <v>3150</v>
      </c>
      <c r="K152" s="56"/>
      <c r="L152" s="58"/>
    </row>
    <row r="153" spans="1:13" ht="15.75" customHeight="1">
      <c r="A153" s="43">
        <v>46157</v>
      </c>
      <c r="B153" s="83" t="s">
        <v>45</v>
      </c>
      <c r="C153" s="83" t="s">
        <v>127</v>
      </c>
      <c r="D153" s="83"/>
      <c r="E153" s="212" t="s">
        <v>106</v>
      </c>
      <c r="F153" s="213">
        <v>5000</v>
      </c>
      <c r="G153" s="214">
        <v>6.5000000000000002E-2</v>
      </c>
      <c r="H153" s="90">
        <v>325</v>
      </c>
      <c r="I153" s="81">
        <v>46164</v>
      </c>
      <c r="J153" s="83">
        <v>3117</v>
      </c>
      <c r="K153" s="81">
        <v>46197</v>
      </c>
      <c r="L153" s="83">
        <v>347591</v>
      </c>
    </row>
    <row r="154" spans="1:13" ht="15.75" customHeight="1">
      <c r="A154" s="80">
        <v>46157</v>
      </c>
      <c r="B154" s="1" t="s">
        <v>45</v>
      </c>
      <c r="C154" s="1" t="s">
        <v>145</v>
      </c>
      <c r="D154" s="1"/>
      <c r="E154" s="33" t="s">
        <v>321</v>
      </c>
      <c r="F154" s="51">
        <v>50</v>
      </c>
      <c r="G154" s="52">
        <v>3.1818</v>
      </c>
      <c r="H154" s="54">
        <v>159.09</v>
      </c>
      <c r="I154" s="32">
        <v>46164</v>
      </c>
      <c r="J154" s="1">
        <v>3118</v>
      </c>
      <c r="K154" s="32">
        <v>46220</v>
      </c>
      <c r="L154" s="1">
        <v>167960</v>
      </c>
    </row>
    <row r="155" spans="1:13" ht="15.75" customHeight="1">
      <c r="A155" s="32">
        <v>46157</v>
      </c>
      <c r="B155" s="1" t="s">
        <v>45</v>
      </c>
      <c r="E155" s="33" t="s">
        <v>112</v>
      </c>
      <c r="F155" s="51">
        <v>1200</v>
      </c>
      <c r="G155" s="52">
        <v>0.38169999999999998</v>
      </c>
      <c r="H155" s="54">
        <v>458.04</v>
      </c>
      <c r="I155" s="32">
        <v>46164</v>
      </c>
      <c r="J155" s="1">
        <v>3118</v>
      </c>
      <c r="K155" s="32">
        <v>46220</v>
      </c>
      <c r="L155" s="209">
        <v>167960</v>
      </c>
    </row>
    <row r="156" spans="1:13" ht="15.75" customHeight="1">
      <c r="A156" s="32">
        <v>46157</v>
      </c>
      <c r="B156" s="1" t="s">
        <v>45</v>
      </c>
      <c r="E156" s="33" t="s">
        <v>206</v>
      </c>
      <c r="F156" s="51">
        <v>1740</v>
      </c>
      <c r="G156" s="52">
        <v>0.51029999999999998</v>
      </c>
      <c r="H156" s="54">
        <v>887.92200000000003</v>
      </c>
      <c r="I156" s="32">
        <v>46164</v>
      </c>
      <c r="J156" s="1">
        <v>3118</v>
      </c>
      <c r="K156" s="32">
        <v>46220</v>
      </c>
      <c r="L156" s="209">
        <v>167960</v>
      </c>
    </row>
    <row r="157" spans="1:13" ht="15.75" customHeight="1">
      <c r="A157" s="32">
        <v>46157</v>
      </c>
      <c r="B157" s="1" t="s">
        <v>45</v>
      </c>
      <c r="E157" s="33" t="s">
        <v>208</v>
      </c>
      <c r="F157" s="51">
        <v>12000</v>
      </c>
      <c r="G157" s="52">
        <v>0.2248</v>
      </c>
      <c r="H157" s="54">
        <v>2697.6</v>
      </c>
      <c r="I157" s="32">
        <v>46164</v>
      </c>
      <c r="J157" s="1">
        <v>3118</v>
      </c>
      <c r="K157" s="32">
        <v>46220</v>
      </c>
      <c r="L157" s="209">
        <v>167960</v>
      </c>
    </row>
    <row r="158" spans="1:13" ht="15.75" customHeight="1">
      <c r="A158" s="8">
        <v>46157</v>
      </c>
      <c r="B158" s="10" t="s">
        <v>45</v>
      </c>
      <c r="C158" s="10"/>
      <c r="D158" s="10"/>
      <c r="E158" s="33" t="s">
        <v>210</v>
      </c>
      <c r="F158" s="34">
        <v>2000</v>
      </c>
      <c r="G158" s="16">
        <v>0.59740000000000004</v>
      </c>
      <c r="H158" s="18">
        <v>1194.8</v>
      </c>
      <c r="I158" s="8">
        <v>46164</v>
      </c>
      <c r="J158" s="10">
        <v>3118</v>
      </c>
      <c r="K158" s="8">
        <v>46220</v>
      </c>
      <c r="L158" s="10">
        <v>167960</v>
      </c>
    </row>
    <row r="159" spans="1:13" ht="15.75" customHeight="1">
      <c r="A159" s="35">
        <v>46157</v>
      </c>
      <c r="B159" s="36" t="s">
        <v>45</v>
      </c>
      <c r="C159" s="36" t="s">
        <v>153</v>
      </c>
      <c r="D159" s="36"/>
      <c r="E159" s="215" t="s">
        <v>213</v>
      </c>
      <c r="F159" s="38">
        <v>15000</v>
      </c>
      <c r="G159" s="39">
        <v>4.5499999999999999E-2</v>
      </c>
      <c r="H159" s="40">
        <v>682.5</v>
      </c>
      <c r="I159" s="35">
        <v>46164</v>
      </c>
      <c r="J159" s="36">
        <v>3119</v>
      </c>
      <c r="K159" s="35">
        <v>46170</v>
      </c>
      <c r="L159" s="36">
        <v>219549</v>
      </c>
    </row>
    <row r="160" spans="1:13" ht="15.75" customHeight="1">
      <c r="A160" s="80">
        <v>46157</v>
      </c>
      <c r="B160" s="1" t="s">
        <v>45</v>
      </c>
      <c r="C160" s="1" t="s">
        <v>322</v>
      </c>
      <c r="E160" s="33" t="s">
        <v>216</v>
      </c>
      <c r="F160" s="51">
        <v>3000</v>
      </c>
      <c r="G160" s="52">
        <v>0.28499999999999998</v>
      </c>
      <c r="H160" s="54">
        <v>855</v>
      </c>
      <c r="I160" s="32">
        <v>46164</v>
      </c>
      <c r="J160" s="1">
        <v>3120</v>
      </c>
      <c r="K160" s="32">
        <v>46213</v>
      </c>
      <c r="L160" s="209">
        <v>932474</v>
      </c>
    </row>
    <row r="161" spans="1:13" ht="15.75" customHeight="1">
      <c r="A161" s="32">
        <v>46157</v>
      </c>
      <c r="B161" s="1" t="s">
        <v>45</v>
      </c>
      <c r="E161" s="33" t="s">
        <v>222</v>
      </c>
      <c r="F161" s="51">
        <v>1800</v>
      </c>
      <c r="G161" s="52">
        <v>1.4390000000000001</v>
      </c>
      <c r="H161" s="54">
        <v>2590.1999999999998</v>
      </c>
      <c r="I161" s="32">
        <v>46164</v>
      </c>
      <c r="J161" s="1">
        <v>3120</v>
      </c>
      <c r="K161" s="32" t="s">
        <v>323</v>
      </c>
      <c r="L161" s="1">
        <v>929515</v>
      </c>
    </row>
    <row r="162" spans="1:13" ht="15.75" customHeight="1">
      <c r="A162" s="32">
        <v>46157</v>
      </c>
      <c r="B162" s="1" t="s">
        <v>45</v>
      </c>
      <c r="E162" s="216" t="s">
        <v>324</v>
      </c>
      <c r="F162" s="51">
        <v>3000</v>
      </c>
      <c r="G162" s="52">
        <v>0.45429999999999998</v>
      </c>
      <c r="H162" s="54">
        <v>1362.9</v>
      </c>
      <c r="I162" s="32">
        <v>46164</v>
      </c>
      <c r="J162" s="1">
        <v>3120</v>
      </c>
      <c r="K162" s="32">
        <v>46183</v>
      </c>
      <c r="L162" s="1">
        <v>925647</v>
      </c>
    </row>
    <row r="163" spans="1:13" ht="15.75" customHeight="1">
      <c r="A163" s="8">
        <v>46157</v>
      </c>
      <c r="B163" s="10" t="s">
        <v>45</v>
      </c>
      <c r="C163" s="10"/>
      <c r="D163" s="10"/>
      <c r="E163" s="208" t="s">
        <v>171</v>
      </c>
      <c r="F163" s="34">
        <v>100</v>
      </c>
      <c r="G163" s="16">
        <v>5.0909000000000004</v>
      </c>
      <c r="H163" s="18">
        <v>509.09</v>
      </c>
      <c r="I163" s="8">
        <v>46164</v>
      </c>
      <c r="J163" s="10">
        <v>3120</v>
      </c>
      <c r="K163" s="32" t="s">
        <v>325</v>
      </c>
      <c r="L163" s="1">
        <v>929515</v>
      </c>
    </row>
    <row r="164" spans="1:13" ht="15.75" customHeight="1">
      <c r="A164" s="35">
        <v>46157</v>
      </c>
      <c r="B164" s="36" t="s">
        <v>45</v>
      </c>
      <c r="C164" s="36" t="s">
        <v>326</v>
      </c>
      <c r="D164" s="36"/>
      <c r="E164" s="37" t="s">
        <v>46</v>
      </c>
      <c r="F164" s="38">
        <v>8400</v>
      </c>
      <c r="G164" s="39">
        <v>4.58E-2</v>
      </c>
      <c r="H164" s="40">
        <v>384.72</v>
      </c>
      <c r="I164" s="35">
        <v>46164</v>
      </c>
      <c r="J164" s="36">
        <v>3121</v>
      </c>
      <c r="K164" s="35"/>
      <c r="L164" s="36"/>
      <c r="M164" s="209" t="s">
        <v>30</v>
      </c>
    </row>
    <row r="165" spans="1:13" ht="15.75" customHeight="1">
      <c r="A165" s="80">
        <v>46157</v>
      </c>
      <c r="B165" s="1" t="s">
        <v>45</v>
      </c>
      <c r="C165" s="1" t="s">
        <v>327</v>
      </c>
      <c r="E165" s="216" t="s">
        <v>123</v>
      </c>
      <c r="F165" s="217">
        <v>9960</v>
      </c>
      <c r="G165" s="218">
        <v>3.5499999999999997E-2</v>
      </c>
      <c r="H165" s="219">
        <v>353.58</v>
      </c>
      <c r="I165" s="32">
        <v>46164</v>
      </c>
      <c r="J165" s="1">
        <v>3122</v>
      </c>
      <c r="K165" s="32">
        <v>46171</v>
      </c>
      <c r="L165" s="1">
        <v>698066</v>
      </c>
    </row>
    <row r="166" spans="1:13" ht="15.75" customHeight="1">
      <c r="A166" s="32">
        <v>46157</v>
      </c>
      <c r="B166" s="1" t="s">
        <v>45</v>
      </c>
      <c r="E166" s="216" t="s">
        <v>328</v>
      </c>
      <c r="F166" s="217">
        <v>3000</v>
      </c>
      <c r="G166" s="218">
        <v>0.14449999999999999</v>
      </c>
      <c r="H166" s="219">
        <v>433.5</v>
      </c>
      <c r="I166" s="32">
        <v>46164</v>
      </c>
      <c r="J166" s="1">
        <v>3122</v>
      </c>
      <c r="K166" s="32">
        <v>46174</v>
      </c>
      <c r="L166" s="1">
        <v>698792</v>
      </c>
    </row>
    <row r="167" spans="1:13" ht="15.75" customHeight="1">
      <c r="A167" s="32">
        <v>46157</v>
      </c>
      <c r="B167" s="1" t="s">
        <v>45</v>
      </c>
      <c r="E167" s="216" t="s">
        <v>329</v>
      </c>
      <c r="F167" s="217">
        <v>1950</v>
      </c>
      <c r="G167" s="218">
        <v>4.7899999999999998E-2</v>
      </c>
      <c r="H167" s="219">
        <v>93.405000000000001</v>
      </c>
      <c r="I167" s="32">
        <v>46164</v>
      </c>
      <c r="J167" s="1">
        <v>3122</v>
      </c>
      <c r="K167" s="32">
        <v>46171</v>
      </c>
      <c r="L167" s="1">
        <v>698066</v>
      </c>
    </row>
    <row r="168" spans="1:13" ht="15.75" customHeight="1">
      <c r="A168" s="32">
        <v>46157</v>
      </c>
      <c r="B168" s="1" t="s">
        <v>45</v>
      </c>
      <c r="E168" s="216" t="s">
        <v>330</v>
      </c>
      <c r="F168" s="51">
        <v>7500</v>
      </c>
      <c r="G168" s="218">
        <v>3.7600000000000001E-2</v>
      </c>
      <c r="H168" s="219">
        <v>282</v>
      </c>
      <c r="I168" s="32">
        <v>46164</v>
      </c>
      <c r="J168" s="1">
        <v>3122</v>
      </c>
      <c r="K168" s="32">
        <v>46150</v>
      </c>
      <c r="L168" s="1">
        <v>700322</v>
      </c>
    </row>
    <row r="169" spans="1:13" ht="15.75" customHeight="1">
      <c r="A169" s="8">
        <v>46157</v>
      </c>
      <c r="B169" s="10" t="s">
        <v>45</v>
      </c>
      <c r="C169" s="10"/>
      <c r="D169" s="10"/>
      <c r="E169" s="220" t="s">
        <v>331</v>
      </c>
      <c r="F169" s="34">
        <v>9990</v>
      </c>
      <c r="G169" s="221">
        <v>7.8E-2</v>
      </c>
      <c r="H169" s="222">
        <v>779.22</v>
      </c>
      <c r="I169" s="8">
        <v>46164</v>
      </c>
      <c r="J169" s="10">
        <v>3122</v>
      </c>
      <c r="K169" s="8">
        <v>46171</v>
      </c>
      <c r="L169" s="10">
        <v>698066</v>
      </c>
    </row>
    <row r="170" spans="1:13" ht="15.75" customHeight="1">
      <c r="A170" s="35">
        <v>46157</v>
      </c>
      <c r="B170" s="36" t="s">
        <v>45</v>
      </c>
      <c r="C170" s="36" t="s">
        <v>164</v>
      </c>
      <c r="D170" s="36"/>
      <c r="E170" s="215" t="s">
        <v>332</v>
      </c>
      <c r="F170" s="38">
        <v>3480</v>
      </c>
      <c r="G170" s="39">
        <v>0.17799999999999999</v>
      </c>
      <c r="H170" s="40">
        <v>619.44000000000005</v>
      </c>
      <c r="I170" s="35">
        <v>46164</v>
      </c>
      <c r="J170" s="36">
        <v>3123</v>
      </c>
      <c r="K170" s="35">
        <v>46211</v>
      </c>
      <c r="L170" s="36">
        <v>295179</v>
      </c>
    </row>
    <row r="171" spans="1:13" ht="15.75" customHeight="1">
      <c r="A171" s="50">
        <v>46157</v>
      </c>
      <c r="B171" s="257" t="s">
        <v>45</v>
      </c>
      <c r="C171" s="53" t="s">
        <v>168</v>
      </c>
      <c r="D171" s="53"/>
      <c r="E171" s="64" t="s">
        <v>47</v>
      </c>
      <c r="F171" s="55">
        <v>100</v>
      </c>
      <c r="G171" s="57">
        <v>2.6135999999999999</v>
      </c>
      <c r="H171" s="59">
        <v>261.36</v>
      </c>
      <c r="I171" s="50">
        <v>46164</v>
      </c>
      <c r="J171" s="53">
        <v>3124</v>
      </c>
      <c r="K171" s="50">
        <v>46267</v>
      </c>
      <c r="L171" s="53">
        <v>1036981</v>
      </c>
      <c r="M171" s="1"/>
    </row>
    <row r="172" spans="1:13" ht="15.75" customHeight="1">
      <c r="A172" s="189">
        <v>46157</v>
      </c>
      <c r="B172" s="191" t="s">
        <v>45</v>
      </c>
      <c r="C172" s="184" t="s">
        <v>333</v>
      </c>
      <c r="D172" s="184"/>
      <c r="E172" s="223" t="s">
        <v>334</v>
      </c>
      <c r="F172" s="186">
        <v>1500</v>
      </c>
      <c r="G172" s="187">
        <v>0.29260000000000003</v>
      </c>
      <c r="H172" s="188">
        <v>438.9</v>
      </c>
      <c r="I172" s="189">
        <v>46164</v>
      </c>
      <c r="J172" s="184">
        <v>3125</v>
      </c>
      <c r="K172" s="189">
        <v>46190</v>
      </c>
      <c r="L172" s="184">
        <v>376386</v>
      </c>
    </row>
    <row r="173" spans="1:13" ht="15.75" customHeight="1">
      <c r="A173" s="8">
        <v>46157</v>
      </c>
      <c r="B173" s="147" t="s">
        <v>49</v>
      </c>
      <c r="C173" s="147" t="s">
        <v>127</v>
      </c>
      <c r="D173" s="147"/>
      <c r="E173" s="224" t="s">
        <v>335</v>
      </c>
      <c r="F173" s="149">
        <v>300</v>
      </c>
      <c r="G173" s="150">
        <v>1.0889</v>
      </c>
      <c r="H173" s="151">
        <v>326.67</v>
      </c>
      <c r="I173" s="146">
        <v>46164</v>
      </c>
      <c r="J173" s="147">
        <v>3126</v>
      </c>
      <c r="K173" s="146">
        <v>46183</v>
      </c>
      <c r="L173" s="147">
        <v>346583</v>
      </c>
    </row>
    <row r="174" spans="1:13" ht="15.75" customHeight="1">
      <c r="A174" s="35">
        <v>46157</v>
      </c>
      <c r="B174" s="36" t="s">
        <v>49</v>
      </c>
      <c r="C174" s="36" t="s">
        <v>336</v>
      </c>
      <c r="D174" s="36"/>
      <c r="E174" s="215" t="s">
        <v>337</v>
      </c>
      <c r="F174" s="38">
        <v>20</v>
      </c>
      <c r="G174" s="39">
        <v>13.2</v>
      </c>
      <c r="H174" s="40">
        <v>264</v>
      </c>
      <c r="I174" s="35">
        <v>46164</v>
      </c>
      <c r="J174" s="36">
        <v>3127</v>
      </c>
      <c r="K174" s="35">
        <v>46196</v>
      </c>
      <c r="L174" s="36">
        <v>94746</v>
      </c>
    </row>
    <row r="175" spans="1:13" ht="15.75" customHeight="1">
      <c r="A175" s="80">
        <v>46157</v>
      </c>
      <c r="B175" s="1" t="s">
        <v>49</v>
      </c>
      <c r="C175" s="1" t="s">
        <v>322</v>
      </c>
      <c r="E175" s="33" t="s">
        <v>338</v>
      </c>
      <c r="F175" s="51">
        <v>1400</v>
      </c>
      <c r="G175" s="52">
        <v>0.1532</v>
      </c>
      <c r="H175" s="54">
        <v>214.48</v>
      </c>
      <c r="I175" s="32">
        <v>46164</v>
      </c>
      <c r="J175" s="1">
        <v>3128</v>
      </c>
      <c r="K175" s="32">
        <v>46226</v>
      </c>
      <c r="L175" s="1">
        <v>935048</v>
      </c>
    </row>
    <row r="176" spans="1:13" ht="15.75" customHeight="1">
      <c r="A176" s="32">
        <v>46157</v>
      </c>
      <c r="B176" s="1" t="s">
        <v>49</v>
      </c>
      <c r="E176" s="216" t="s">
        <v>339</v>
      </c>
      <c r="F176" s="51">
        <v>100</v>
      </c>
      <c r="G176" s="52">
        <v>0.89600000000000002</v>
      </c>
      <c r="H176" s="54">
        <v>89.6</v>
      </c>
      <c r="I176" s="32">
        <v>46164</v>
      </c>
      <c r="J176" s="1">
        <v>3128</v>
      </c>
      <c r="K176" s="32">
        <v>46226</v>
      </c>
      <c r="L176" s="1">
        <v>935048</v>
      </c>
    </row>
    <row r="177" spans="1:18" ht="15.75" customHeight="1">
      <c r="A177" s="8">
        <v>46157</v>
      </c>
      <c r="B177" s="10" t="s">
        <v>49</v>
      </c>
      <c r="C177" s="10"/>
      <c r="D177" s="10"/>
      <c r="E177" s="220" t="s">
        <v>340</v>
      </c>
      <c r="F177" s="34">
        <v>100</v>
      </c>
      <c r="G177" s="16">
        <v>0.88470000000000004</v>
      </c>
      <c r="H177" s="18">
        <v>88.47</v>
      </c>
      <c r="I177" s="8">
        <v>46164</v>
      </c>
      <c r="J177" s="10">
        <v>3128</v>
      </c>
      <c r="K177" s="8">
        <v>46226</v>
      </c>
      <c r="L177" s="10">
        <v>935048</v>
      </c>
    </row>
    <row r="178" spans="1:18" ht="15.75" customHeight="1">
      <c r="A178" s="41">
        <v>46157</v>
      </c>
      <c r="B178" s="24" t="s">
        <v>49</v>
      </c>
      <c r="C178" s="24" t="s">
        <v>327</v>
      </c>
      <c r="D178" s="24"/>
      <c r="E178" s="65" t="s">
        <v>341</v>
      </c>
      <c r="F178" s="26">
        <v>1500</v>
      </c>
      <c r="G178" s="28">
        <v>0.10050000000000001</v>
      </c>
      <c r="H178" s="30">
        <v>150.75</v>
      </c>
      <c r="I178" s="22">
        <v>46164</v>
      </c>
      <c r="J178" s="24">
        <v>3129</v>
      </c>
      <c r="K178" s="22">
        <v>46171</v>
      </c>
      <c r="L178" s="24">
        <v>698196</v>
      </c>
    </row>
    <row r="179" spans="1:18" ht="15.75" customHeight="1">
      <c r="A179" s="22">
        <v>46157</v>
      </c>
      <c r="B179" s="24" t="s">
        <v>49</v>
      </c>
      <c r="C179" s="24"/>
      <c r="D179" s="24"/>
      <c r="E179" s="65" t="s">
        <v>342</v>
      </c>
      <c r="F179" s="26">
        <v>990</v>
      </c>
      <c r="G179" s="28">
        <v>0.18609999999999999</v>
      </c>
      <c r="H179" s="30">
        <v>184.239</v>
      </c>
      <c r="I179" s="22">
        <v>46164</v>
      </c>
      <c r="J179" s="24">
        <v>3129</v>
      </c>
      <c r="K179" s="22">
        <v>46171</v>
      </c>
      <c r="L179" s="24">
        <v>698026</v>
      </c>
    </row>
    <row r="180" spans="1:18" ht="15.75" customHeight="1">
      <c r="A180" s="43">
        <v>46157</v>
      </c>
      <c r="B180" s="44" t="s">
        <v>49</v>
      </c>
      <c r="C180" s="44"/>
      <c r="D180" s="44"/>
      <c r="E180" s="68" t="s">
        <v>343</v>
      </c>
      <c r="F180" s="47">
        <v>2000</v>
      </c>
      <c r="G180" s="48">
        <v>0.1265</v>
      </c>
      <c r="H180" s="49">
        <v>253</v>
      </c>
      <c r="I180" s="43">
        <v>46164</v>
      </c>
      <c r="J180" s="44">
        <v>3129</v>
      </c>
      <c r="K180" s="43">
        <v>46199</v>
      </c>
      <c r="L180" s="44">
        <v>706415</v>
      </c>
    </row>
    <row r="181" spans="1:18" ht="15.75" customHeight="1">
      <c r="A181" s="50">
        <v>46157</v>
      </c>
      <c r="B181" s="53" t="s">
        <v>49</v>
      </c>
      <c r="C181" s="53" t="s">
        <v>226</v>
      </c>
      <c r="D181" s="53"/>
      <c r="E181" s="64" t="s">
        <v>344</v>
      </c>
      <c r="F181" s="55">
        <v>15</v>
      </c>
      <c r="G181" s="57">
        <v>8.81</v>
      </c>
      <c r="H181" s="59">
        <v>132.15</v>
      </c>
      <c r="I181" s="50">
        <v>46164</v>
      </c>
      <c r="J181" s="53">
        <v>3130</v>
      </c>
      <c r="K181" s="50">
        <v>46185</v>
      </c>
      <c r="L181" s="225">
        <v>58668</v>
      </c>
    </row>
    <row r="182" spans="1:18" ht="15.75" customHeight="1">
      <c r="A182" s="41">
        <v>46157</v>
      </c>
      <c r="B182" s="24" t="s">
        <v>49</v>
      </c>
      <c r="C182" s="24" t="s">
        <v>164</v>
      </c>
      <c r="D182" s="24"/>
      <c r="E182" s="65" t="s">
        <v>50</v>
      </c>
      <c r="F182" s="26">
        <v>3000</v>
      </c>
      <c r="G182" s="28">
        <v>3.5099999999999999E-2</v>
      </c>
      <c r="H182" s="30">
        <v>105.3</v>
      </c>
      <c r="I182" s="22">
        <v>46164</v>
      </c>
      <c r="J182" s="24">
        <v>3131</v>
      </c>
      <c r="K182" s="22"/>
      <c r="L182" s="24"/>
      <c r="M182" s="209" t="s">
        <v>51</v>
      </c>
    </row>
    <row r="183" spans="1:18" ht="15.75" customHeight="1">
      <c r="A183" s="22">
        <v>46157</v>
      </c>
      <c r="B183" s="24" t="s">
        <v>49</v>
      </c>
      <c r="C183" s="24"/>
      <c r="D183" s="24"/>
      <c r="E183" s="65" t="s">
        <v>53</v>
      </c>
      <c r="F183" s="26">
        <v>800</v>
      </c>
      <c r="G183" s="28">
        <v>0.41360000000000002</v>
      </c>
      <c r="H183" s="30">
        <v>330.88</v>
      </c>
      <c r="I183" s="22">
        <v>46164</v>
      </c>
      <c r="J183" s="24">
        <v>3131</v>
      </c>
      <c r="K183" s="22"/>
      <c r="L183" s="24"/>
    </row>
    <row r="184" spans="1:18" ht="15.75" customHeight="1">
      <c r="A184" s="43">
        <v>46157</v>
      </c>
      <c r="B184" s="44" t="s">
        <v>49</v>
      </c>
      <c r="C184" s="44"/>
      <c r="D184" s="44"/>
      <c r="E184" s="68" t="s">
        <v>56</v>
      </c>
      <c r="F184" s="47">
        <v>50</v>
      </c>
      <c r="G184" s="48">
        <v>3.5114000000000001</v>
      </c>
      <c r="H184" s="49">
        <v>175.57</v>
      </c>
      <c r="I184" s="43">
        <v>46164</v>
      </c>
      <c r="J184" s="44">
        <v>3131</v>
      </c>
      <c r="K184" s="43"/>
      <c r="L184" s="44"/>
    </row>
    <row r="185" spans="1:18" ht="15.75" customHeight="1">
      <c r="A185" s="80">
        <v>46157</v>
      </c>
      <c r="B185" s="1" t="s">
        <v>49</v>
      </c>
      <c r="C185" s="1" t="s">
        <v>168</v>
      </c>
      <c r="E185" s="216" t="s">
        <v>345</v>
      </c>
      <c r="F185" s="51">
        <v>100</v>
      </c>
      <c r="G185" s="52">
        <v>3.7385999999999999</v>
      </c>
      <c r="H185" s="54">
        <v>373.86</v>
      </c>
      <c r="I185" s="32">
        <v>46164</v>
      </c>
      <c r="J185" s="1">
        <v>3132</v>
      </c>
      <c r="K185" s="32">
        <v>46227</v>
      </c>
      <c r="L185" s="209">
        <v>1026261</v>
      </c>
      <c r="M185" s="1"/>
    </row>
    <row r="186" spans="1:18" ht="15.75" customHeight="1">
      <c r="A186" s="8">
        <v>46157</v>
      </c>
      <c r="B186" s="10" t="s">
        <v>49</v>
      </c>
      <c r="C186" s="10"/>
      <c r="D186" s="10"/>
      <c r="E186" s="220" t="s">
        <v>137</v>
      </c>
      <c r="F186" s="34">
        <v>50</v>
      </c>
      <c r="G186" s="16">
        <v>5.5975000000000001</v>
      </c>
      <c r="H186" s="18">
        <v>279.875</v>
      </c>
      <c r="I186" s="8">
        <v>46164</v>
      </c>
      <c r="J186" s="10">
        <v>3132</v>
      </c>
      <c r="K186" s="8">
        <v>46199</v>
      </c>
      <c r="L186" s="10">
        <v>1018002</v>
      </c>
    </row>
    <row r="187" spans="1:18" ht="15.75" customHeight="1">
      <c r="A187" s="43">
        <v>46157</v>
      </c>
      <c r="B187" s="36" t="s">
        <v>49</v>
      </c>
      <c r="C187" s="36" t="s">
        <v>239</v>
      </c>
      <c r="D187" s="36"/>
      <c r="E187" s="215" t="s">
        <v>346</v>
      </c>
      <c r="F187" s="38">
        <v>150</v>
      </c>
      <c r="G187" s="39">
        <v>4.4204999999999997</v>
      </c>
      <c r="H187" s="40">
        <v>663.07500000000005</v>
      </c>
      <c r="I187" s="35">
        <v>46164</v>
      </c>
      <c r="J187" s="36">
        <v>3133</v>
      </c>
      <c r="K187" s="35">
        <v>46184</v>
      </c>
      <c r="L187" s="36">
        <v>375965</v>
      </c>
      <c r="O187" s="1" t="s">
        <v>347</v>
      </c>
    </row>
    <row r="188" spans="1:18" ht="15.75" customHeight="1">
      <c r="A188" s="155">
        <v>46157</v>
      </c>
      <c r="B188" s="156" t="s">
        <v>49</v>
      </c>
      <c r="C188" s="156" t="s">
        <v>348</v>
      </c>
      <c r="D188" s="156"/>
      <c r="E188" s="226" t="s">
        <v>349</v>
      </c>
      <c r="F188" s="158">
        <v>1000</v>
      </c>
      <c r="G188" s="159">
        <v>0.1477</v>
      </c>
      <c r="H188" s="160">
        <v>147.69999999999999</v>
      </c>
      <c r="I188" s="155">
        <v>46164</v>
      </c>
      <c r="J188" s="156">
        <v>3134</v>
      </c>
      <c r="K188" s="155">
        <v>46195</v>
      </c>
      <c r="L188" s="156">
        <v>114764</v>
      </c>
      <c r="M188" s="69"/>
      <c r="N188" s="69"/>
      <c r="O188" s="177">
        <v>29245.83</v>
      </c>
      <c r="P188" s="1" t="s">
        <v>350</v>
      </c>
      <c r="R188" t="s">
        <v>389</v>
      </c>
    </row>
    <row r="189" spans="1:18" ht="15.75" customHeight="1">
      <c r="A189" s="70">
        <v>46217</v>
      </c>
      <c r="B189" s="71" t="s">
        <v>60</v>
      </c>
      <c r="C189" s="71" t="s">
        <v>304</v>
      </c>
      <c r="D189" s="71"/>
      <c r="E189" s="72" t="s">
        <v>61</v>
      </c>
      <c r="F189" s="73">
        <v>2490</v>
      </c>
      <c r="G189" s="74">
        <v>0.34</v>
      </c>
      <c r="H189" s="75">
        <f t="shared" ref="H189:H190" si="1">F189*G189</f>
        <v>846.6</v>
      </c>
      <c r="I189" s="70">
        <v>46225</v>
      </c>
      <c r="J189" s="71">
        <v>4259</v>
      </c>
      <c r="K189" s="70"/>
      <c r="L189" s="71"/>
    </row>
    <row r="190" spans="1:18" ht="15.75" customHeight="1">
      <c r="A190" s="32">
        <v>46217</v>
      </c>
      <c r="B190" s="1" t="s">
        <v>60</v>
      </c>
      <c r="C190" s="1" t="s">
        <v>351</v>
      </c>
      <c r="E190" s="33" t="s">
        <v>352</v>
      </c>
      <c r="F190" s="51">
        <v>3000</v>
      </c>
      <c r="G190" s="52">
        <v>0.13</v>
      </c>
      <c r="H190" s="54">
        <f t="shared" si="1"/>
        <v>390</v>
      </c>
      <c r="I190" s="32">
        <v>46225</v>
      </c>
      <c r="J190" s="1">
        <v>4260</v>
      </c>
      <c r="K190" s="32">
        <v>46240</v>
      </c>
      <c r="L190" s="1">
        <v>116394</v>
      </c>
    </row>
    <row r="191" spans="1:18" ht="15.75" customHeight="1">
      <c r="A191" s="8">
        <v>46217</v>
      </c>
      <c r="B191" s="10" t="s">
        <v>60</v>
      </c>
      <c r="C191" s="10"/>
      <c r="D191" s="10"/>
      <c r="E191" s="208" t="s">
        <v>353</v>
      </c>
      <c r="F191" s="34">
        <v>1000</v>
      </c>
      <c r="G191" s="16">
        <v>1.08</v>
      </c>
      <c r="H191" s="18">
        <v>1080</v>
      </c>
      <c r="I191" s="8">
        <v>46225</v>
      </c>
      <c r="J191" s="10">
        <v>4260</v>
      </c>
      <c r="K191" s="8">
        <v>46240</v>
      </c>
      <c r="L191" s="10">
        <v>116394</v>
      </c>
    </row>
    <row r="192" spans="1:18" ht="15.75" customHeight="1">
      <c r="A192" s="22">
        <v>46217</v>
      </c>
      <c r="B192" s="24" t="s">
        <v>60</v>
      </c>
      <c r="C192" s="24" t="s">
        <v>245</v>
      </c>
      <c r="D192" s="24"/>
      <c r="E192" s="78" t="s">
        <v>354</v>
      </c>
      <c r="F192" s="26">
        <v>5</v>
      </c>
      <c r="G192" s="28">
        <v>125.35</v>
      </c>
      <c r="H192" s="30">
        <f t="shared" ref="H192:H208" si="2">F192*G192</f>
        <v>626.75</v>
      </c>
      <c r="I192" s="22">
        <v>46225</v>
      </c>
      <c r="J192" s="24">
        <v>4261</v>
      </c>
      <c r="K192" s="22">
        <v>46240</v>
      </c>
      <c r="L192" s="24">
        <v>399430</v>
      </c>
    </row>
    <row r="193" spans="1:12" ht="15.75" customHeight="1">
      <c r="A193" s="43">
        <v>46217</v>
      </c>
      <c r="B193" s="44" t="s">
        <v>60</v>
      </c>
      <c r="C193" s="44"/>
      <c r="D193" s="44"/>
      <c r="E193" s="79" t="s">
        <v>355</v>
      </c>
      <c r="F193" s="47">
        <v>60</v>
      </c>
      <c r="G193" s="48">
        <v>19.329999999999998</v>
      </c>
      <c r="H193" s="49">
        <f t="shared" si="2"/>
        <v>1159.8</v>
      </c>
      <c r="I193" s="43">
        <v>46225</v>
      </c>
      <c r="J193" s="44">
        <v>4261</v>
      </c>
      <c r="K193" s="43">
        <v>46240</v>
      </c>
      <c r="L193" s="44">
        <v>399430</v>
      </c>
    </row>
    <row r="194" spans="1:12" ht="15.75" customHeight="1">
      <c r="A194" s="56">
        <v>46217</v>
      </c>
      <c r="B194" s="58" t="s">
        <v>60</v>
      </c>
      <c r="C194" s="58" t="s">
        <v>356</v>
      </c>
      <c r="D194" s="58"/>
      <c r="E194" s="60" t="s">
        <v>65</v>
      </c>
      <c r="F194" s="61">
        <v>3000</v>
      </c>
      <c r="G194" s="62">
        <v>0.14910000000000001</v>
      </c>
      <c r="H194" s="63">
        <f t="shared" si="2"/>
        <v>447.3</v>
      </c>
      <c r="I194" s="56">
        <v>46225</v>
      </c>
      <c r="J194" s="58">
        <v>4262</v>
      </c>
      <c r="K194" s="56"/>
      <c r="L194" s="58"/>
    </row>
    <row r="195" spans="1:12" ht="15.75" customHeight="1">
      <c r="A195" s="81">
        <v>46217</v>
      </c>
      <c r="B195" s="83" t="s">
        <v>66</v>
      </c>
      <c r="C195" s="83" t="s">
        <v>357</v>
      </c>
      <c r="D195" s="83"/>
      <c r="E195" s="227" t="s">
        <v>358</v>
      </c>
      <c r="F195" s="213">
        <v>70</v>
      </c>
      <c r="G195" s="214">
        <v>5.15</v>
      </c>
      <c r="H195" s="90">
        <f t="shared" si="2"/>
        <v>360.5</v>
      </c>
      <c r="I195" s="81">
        <v>46225</v>
      </c>
      <c r="J195" s="83">
        <v>4269</v>
      </c>
      <c r="K195" s="81">
        <v>46230</v>
      </c>
      <c r="L195" s="83">
        <v>8594</v>
      </c>
    </row>
    <row r="196" spans="1:12" ht="15.75" customHeight="1">
      <c r="A196" s="32">
        <v>46217</v>
      </c>
      <c r="B196" s="1" t="s">
        <v>66</v>
      </c>
      <c r="C196" s="1" t="s">
        <v>309</v>
      </c>
      <c r="E196" s="33" t="s">
        <v>359</v>
      </c>
      <c r="F196" s="51">
        <v>1500</v>
      </c>
      <c r="G196" s="52">
        <v>0.49</v>
      </c>
      <c r="H196" s="54">
        <f t="shared" si="2"/>
        <v>735</v>
      </c>
      <c r="I196" s="32">
        <v>46225</v>
      </c>
      <c r="J196" s="1">
        <v>4271</v>
      </c>
      <c r="K196" s="32">
        <v>46233</v>
      </c>
      <c r="L196" s="209">
        <v>11359</v>
      </c>
    </row>
    <row r="197" spans="1:12" ht="15.75" customHeight="1">
      <c r="A197" s="8">
        <v>46217</v>
      </c>
      <c r="B197" s="10" t="s">
        <v>66</v>
      </c>
      <c r="C197" s="10"/>
      <c r="D197" s="10"/>
      <c r="E197" s="228" t="s">
        <v>360</v>
      </c>
      <c r="F197" s="34">
        <v>6</v>
      </c>
      <c r="G197" s="16">
        <v>27.2</v>
      </c>
      <c r="H197" s="18">
        <f t="shared" si="2"/>
        <v>163.19999999999999</v>
      </c>
      <c r="I197" s="8">
        <v>46225</v>
      </c>
      <c r="J197" s="10">
        <v>4271</v>
      </c>
      <c r="K197" s="8">
        <v>46233</v>
      </c>
      <c r="L197" s="10">
        <v>11359</v>
      </c>
    </row>
    <row r="198" spans="1:12" ht="15.75" customHeight="1">
      <c r="A198" s="22">
        <v>46217</v>
      </c>
      <c r="B198" s="24" t="s">
        <v>66</v>
      </c>
      <c r="C198" s="24" t="s">
        <v>361</v>
      </c>
      <c r="D198" s="24"/>
      <c r="E198" s="78" t="s">
        <v>67</v>
      </c>
      <c r="F198" s="26">
        <v>1000</v>
      </c>
      <c r="G198" s="28">
        <v>0.05</v>
      </c>
      <c r="H198" s="30">
        <f t="shared" si="2"/>
        <v>50</v>
      </c>
      <c r="I198" s="22">
        <v>46225</v>
      </c>
      <c r="J198" s="24">
        <v>4270</v>
      </c>
      <c r="K198" s="22"/>
      <c r="L198" s="24"/>
    </row>
    <row r="199" spans="1:12" ht="15.75" customHeight="1">
      <c r="A199" s="43">
        <v>46217</v>
      </c>
      <c r="B199" s="44" t="s">
        <v>66</v>
      </c>
      <c r="C199" s="44"/>
      <c r="D199" s="44"/>
      <c r="E199" s="79" t="s">
        <v>72</v>
      </c>
      <c r="F199" s="47">
        <v>50</v>
      </c>
      <c r="G199" s="48">
        <v>1.04</v>
      </c>
      <c r="H199" s="49">
        <f t="shared" si="2"/>
        <v>52</v>
      </c>
      <c r="I199" s="43">
        <v>46225</v>
      </c>
      <c r="J199" s="44">
        <v>4270</v>
      </c>
      <c r="K199" s="43"/>
      <c r="L199" s="44"/>
    </row>
    <row r="200" spans="1:12" ht="15.75" customHeight="1">
      <c r="A200" s="56">
        <v>46217</v>
      </c>
      <c r="B200" s="58" t="s">
        <v>66</v>
      </c>
      <c r="C200" s="58" t="s">
        <v>362</v>
      </c>
      <c r="D200" s="58"/>
      <c r="E200" s="60" t="s">
        <v>363</v>
      </c>
      <c r="F200" s="61">
        <v>1000</v>
      </c>
      <c r="G200" s="62">
        <v>0.2</v>
      </c>
      <c r="H200" s="63">
        <f t="shared" si="2"/>
        <v>200</v>
      </c>
      <c r="I200" s="56">
        <v>46225</v>
      </c>
      <c r="J200" s="58">
        <v>4272</v>
      </c>
      <c r="K200" s="56">
        <v>46233</v>
      </c>
      <c r="L200" s="58">
        <v>382612</v>
      </c>
    </row>
    <row r="201" spans="1:12" ht="15.75" customHeight="1">
      <c r="A201" s="81">
        <v>46217</v>
      </c>
      <c r="B201" s="83" t="s">
        <v>74</v>
      </c>
      <c r="C201" s="229" t="s">
        <v>364</v>
      </c>
      <c r="D201" s="83"/>
      <c r="E201" s="85" t="s">
        <v>77</v>
      </c>
      <c r="F201" s="87">
        <v>3000</v>
      </c>
      <c r="G201" s="89">
        <v>0.51029999999999998</v>
      </c>
      <c r="H201" s="90">
        <f t="shared" si="2"/>
        <v>1530.8999999999999</v>
      </c>
      <c r="I201" s="81">
        <v>46225</v>
      </c>
      <c r="J201" s="83">
        <v>4231</v>
      </c>
      <c r="K201" s="81">
        <v>46252</v>
      </c>
      <c r="L201" s="83">
        <v>168767</v>
      </c>
    </row>
    <row r="202" spans="1:12" ht="15.75" customHeight="1">
      <c r="A202" s="50">
        <v>46217</v>
      </c>
      <c r="B202" s="53" t="s">
        <v>74</v>
      </c>
      <c r="C202" s="230" t="s">
        <v>365</v>
      </c>
      <c r="D202" s="53"/>
      <c r="E202" s="92" t="s">
        <v>79</v>
      </c>
      <c r="F202" s="93">
        <v>5000</v>
      </c>
      <c r="G202" s="94">
        <v>0.2465</v>
      </c>
      <c r="H202" s="59">
        <f t="shared" si="2"/>
        <v>1232.5</v>
      </c>
      <c r="I202" s="50">
        <v>46225</v>
      </c>
      <c r="J202" s="53">
        <v>4233</v>
      </c>
      <c r="K202" s="50">
        <v>46252</v>
      </c>
      <c r="L202" s="53">
        <v>938097</v>
      </c>
    </row>
    <row r="203" spans="1:12" ht="15.75" customHeight="1">
      <c r="A203" s="22">
        <v>46217</v>
      </c>
      <c r="B203" s="24" t="s">
        <v>74</v>
      </c>
      <c r="C203" s="231" t="s">
        <v>366</v>
      </c>
      <c r="D203" s="24"/>
      <c r="E203" s="96" t="s">
        <v>84</v>
      </c>
      <c r="F203" s="97">
        <v>1800</v>
      </c>
      <c r="G203" s="98">
        <v>0.69320000000000004</v>
      </c>
      <c r="H203" s="30">
        <f t="shared" si="2"/>
        <v>1247.76</v>
      </c>
      <c r="I203" s="22">
        <v>46225</v>
      </c>
      <c r="J203" s="24">
        <v>4238</v>
      </c>
      <c r="K203" s="22"/>
      <c r="L203" s="24"/>
    </row>
    <row r="204" spans="1:12" ht="15.75" customHeight="1">
      <c r="A204" s="43">
        <v>46217</v>
      </c>
      <c r="B204" s="44" t="s">
        <v>74</v>
      </c>
      <c r="C204" s="44"/>
      <c r="D204" s="44"/>
      <c r="E204" s="99" t="s">
        <v>88</v>
      </c>
      <c r="F204" s="100">
        <v>3600</v>
      </c>
      <c r="G204" s="101">
        <v>6.59E-2</v>
      </c>
      <c r="H204" s="49">
        <f t="shared" si="2"/>
        <v>237.24</v>
      </c>
      <c r="I204" s="43">
        <v>46225</v>
      </c>
      <c r="J204" s="44">
        <v>4238</v>
      </c>
      <c r="K204" s="43"/>
      <c r="L204" s="44"/>
    </row>
    <row r="205" spans="1:12" ht="15.75" customHeight="1">
      <c r="A205" s="50">
        <v>46217</v>
      </c>
      <c r="B205" s="53" t="s">
        <v>74</v>
      </c>
      <c r="C205" s="230" t="s">
        <v>367</v>
      </c>
      <c r="D205" s="53"/>
      <c r="E205" s="92" t="s">
        <v>90</v>
      </c>
      <c r="F205" s="93">
        <v>3000</v>
      </c>
      <c r="G205" s="94">
        <v>0.88290000000000002</v>
      </c>
      <c r="H205" s="59">
        <f t="shared" si="2"/>
        <v>2648.7000000000003</v>
      </c>
      <c r="I205" s="50">
        <v>46225</v>
      </c>
      <c r="J205" s="53">
        <v>4268</v>
      </c>
      <c r="K205" s="50"/>
      <c r="L205" s="53"/>
    </row>
    <row r="206" spans="1:12" ht="15.75" customHeight="1">
      <c r="A206" s="22">
        <v>46217</v>
      </c>
      <c r="B206" s="24" t="s">
        <v>74</v>
      </c>
      <c r="C206" s="231" t="s">
        <v>368</v>
      </c>
      <c r="D206" s="24"/>
      <c r="E206" s="96" t="s">
        <v>92</v>
      </c>
      <c r="F206" s="97">
        <v>150</v>
      </c>
      <c r="G206" s="98">
        <v>5.5243000000000002</v>
      </c>
      <c r="H206" s="30">
        <f t="shared" si="2"/>
        <v>828.64499999999998</v>
      </c>
      <c r="I206" s="22">
        <v>46225</v>
      </c>
      <c r="J206" s="24">
        <v>4241</v>
      </c>
      <c r="K206" s="22">
        <v>46262</v>
      </c>
      <c r="L206" s="24">
        <v>23328</v>
      </c>
    </row>
    <row r="207" spans="1:12" ht="15.75" customHeight="1">
      <c r="A207" s="43">
        <v>46217</v>
      </c>
      <c r="B207" s="44" t="s">
        <v>74</v>
      </c>
      <c r="C207" s="44"/>
      <c r="D207" s="44"/>
      <c r="E207" s="99" t="s">
        <v>94</v>
      </c>
      <c r="F207" s="100">
        <v>1000</v>
      </c>
      <c r="G207" s="101">
        <v>0.64080000000000004</v>
      </c>
      <c r="H207" s="49">
        <f t="shared" si="2"/>
        <v>640.80000000000007</v>
      </c>
      <c r="I207" s="43">
        <v>46225</v>
      </c>
      <c r="J207" s="44">
        <v>4241</v>
      </c>
      <c r="K207" s="43">
        <v>46262</v>
      </c>
      <c r="L207" s="44">
        <v>23328</v>
      </c>
    </row>
    <row r="208" spans="1:12" ht="15.75" customHeight="1">
      <c r="A208" s="104">
        <v>46217</v>
      </c>
      <c r="B208" s="105" t="s">
        <v>74</v>
      </c>
      <c r="C208" s="232" t="s">
        <v>369</v>
      </c>
      <c r="D208" s="105"/>
      <c r="E208" s="106" t="s">
        <v>97</v>
      </c>
      <c r="F208" s="108">
        <v>2500</v>
      </c>
      <c r="G208" s="111">
        <v>0.18160000000000001</v>
      </c>
      <c r="H208" s="113">
        <f t="shared" si="2"/>
        <v>454.00000000000006</v>
      </c>
      <c r="I208" s="104">
        <v>46225</v>
      </c>
      <c r="J208" s="105">
        <v>4242</v>
      </c>
      <c r="K208" s="104"/>
      <c r="L208" s="105"/>
    </row>
    <row r="209" spans="1:17" ht="15.75" customHeight="1">
      <c r="A209" s="233">
        <v>46217</v>
      </c>
      <c r="B209" s="234" t="s">
        <v>100</v>
      </c>
      <c r="C209" s="235" t="s">
        <v>370</v>
      </c>
      <c r="D209" s="234"/>
      <c r="E209" s="236" t="s">
        <v>371</v>
      </c>
      <c r="F209" s="237">
        <v>20000</v>
      </c>
      <c r="G209" s="238">
        <v>2.63E-2</v>
      </c>
      <c r="H209" s="239">
        <f t="shared" ref="H209:H212" si="3">G209*F209</f>
        <v>526</v>
      </c>
      <c r="I209" s="233">
        <v>46225</v>
      </c>
      <c r="J209" s="234">
        <v>4265</v>
      </c>
      <c r="K209" s="233">
        <v>46238</v>
      </c>
      <c r="L209" s="234">
        <v>937826</v>
      </c>
    </row>
    <row r="210" spans="1:17" ht="15.75" customHeight="1">
      <c r="A210" s="8">
        <v>46217</v>
      </c>
      <c r="B210" s="10" t="s">
        <v>100</v>
      </c>
      <c r="C210" s="240" t="s">
        <v>366</v>
      </c>
      <c r="D210" s="10"/>
      <c r="E210" s="125" t="s">
        <v>372</v>
      </c>
      <c r="F210" s="126">
        <v>4000</v>
      </c>
      <c r="G210" s="241">
        <v>0.1074</v>
      </c>
      <c r="H210" s="18">
        <f t="shared" si="3"/>
        <v>429.59999999999997</v>
      </c>
      <c r="I210" s="8">
        <v>46225</v>
      </c>
      <c r="J210" s="10">
        <v>4266</v>
      </c>
      <c r="K210" s="8">
        <v>46246</v>
      </c>
      <c r="L210" s="10">
        <v>298340</v>
      </c>
    </row>
    <row r="211" spans="1:17" ht="15.75" customHeight="1">
      <c r="A211" s="22">
        <v>46217</v>
      </c>
      <c r="B211" s="24" t="s">
        <v>100</v>
      </c>
      <c r="C211" s="231" t="s">
        <v>373</v>
      </c>
      <c r="D211" s="24"/>
      <c r="E211" s="96" t="s">
        <v>101</v>
      </c>
      <c r="F211" s="97">
        <v>200</v>
      </c>
      <c r="G211" s="98">
        <v>1.4659</v>
      </c>
      <c r="H211" s="30">
        <f t="shared" si="3"/>
        <v>293.18</v>
      </c>
      <c r="I211" s="22">
        <v>46225</v>
      </c>
      <c r="J211" s="24">
        <v>4267</v>
      </c>
      <c r="K211" s="22">
        <v>46252</v>
      </c>
      <c r="L211" s="24">
        <v>1034154</v>
      </c>
    </row>
    <row r="212" spans="1:17" ht="15.75" customHeight="1">
      <c r="A212" s="22">
        <v>46217</v>
      </c>
      <c r="B212" s="24" t="s">
        <v>100</v>
      </c>
      <c r="C212" s="24"/>
      <c r="D212" s="24"/>
      <c r="E212" s="96" t="s">
        <v>286</v>
      </c>
      <c r="F212" s="97">
        <v>10000</v>
      </c>
      <c r="G212" s="98">
        <v>0.1113</v>
      </c>
      <c r="H212" s="30">
        <f t="shared" si="3"/>
        <v>1113</v>
      </c>
      <c r="I212" s="22">
        <v>46225</v>
      </c>
      <c r="J212" s="24">
        <v>4267</v>
      </c>
      <c r="K212" s="22">
        <v>46241</v>
      </c>
      <c r="L212" s="24">
        <v>1030276</v>
      </c>
    </row>
    <row r="213" spans="1:17" ht="15.75" customHeight="1">
      <c r="A213" s="114">
        <v>46217</v>
      </c>
      <c r="B213" s="115" t="s">
        <v>100</v>
      </c>
      <c r="C213" s="115"/>
      <c r="D213" s="115"/>
      <c r="E213" s="116" t="s">
        <v>102</v>
      </c>
      <c r="F213" s="117">
        <v>2000</v>
      </c>
      <c r="G213" s="118">
        <v>0.1193</v>
      </c>
      <c r="H213" s="120">
        <f t="shared" ref="H213:H227" si="4">F213*G213</f>
        <v>238.6</v>
      </c>
      <c r="I213" s="114">
        <v>46225</v>
      </c>
      <c r="J213" s="115">
        <v>4267</v>
      </c>
      <c r="K213" s="114"/>
      <c r="L213" s="115"/>
      <c r="M213" s="69"/>
      <c r="N213" s="69" t="s">
        <v>374</v>
      </c>
      <c r="O213" s="69"/>
      <c r="P213" s="242">
        <v>17535.48</v>
      </c>
      <c r="Q213" s="258" t="s">
        <v>388</v>
      </c>
    </row>
    <row r="214" spans="1:17" ht="15.75" customHeight="1">
      <c r="A214" s="32">
        <v>46246</v>
      </c>
      <c r="B214" s="1" t="s">
        <v>104</v>
      </c>
      <c r="C214" s="209" t="s">
        <v>127</v>
      </c>
      <c r="E214" s="121" t="s">
        <v>105</v>
      </c>
      <c r="F214" s="122">
        <v>2000</v>
      </c>
      <c r="G214" s="123">
        <v>6.5000000000000002E-2</v>
      </c>
      <c r="H214" s="54">
        <f t="shared" si="4"/>
        <v>130</v>
      </c>
      <c r="I214" s="32"/>
      <c r="J214" s="243">
        <v>4229</v>
      </c>
      <c r="K214" s="32"/>
    </row>
    <row r="215" spans="1:17" ht="15.75" customHeight="1">
      <c r="A215" s="32"/>
      <c r="B215" s="1"/>
      <c r="E215" s="121" t="s">
        <v>106</v>
      </c>
      <c r="F215" s="122">
        <v>5000</v>
      </c>
      <c r="G215" s="123">
        <v>6.5000000000000002E-2</v>
      </c>
      <c r="H215" s="54">
        <f t="shared" si="4"/>
        <v>325</v>
      </c>
      <c r="I215" s="32"/>
      <c r="J215" s="243">
        <v>4229</v>
      </c>
      <c r="K215" s="32"/>
    </row>
    <row r="216" spans="1:17" ht="15.75" customHeight="1">
      <c r="A216" s="8"/>
      <c r="B216" s="10"/>
      <c r="C216" s="10"/>
      <c r="D216" s="10"/>
      <c r="E216" s="125" t="s">
        <v>108</v>
      </c>
      <c r="F216" s="126">
        <v>7000</v>
      </c>
      <c r="G216" s="127">
        <v>6.5000000000000002E-2</v>
      </c>
      <c r="H216" s="18">
        <f t="shared" si="4"/>
        <v>455</v>
      </c>
      <c r="I216" s="8"/>
      <c r="J216" s="244">
        <v>4229</v>
      </c>
      <c r="K216" s="8"/>
      <c r="L216" s="10"/>
    </row>
    <row r="217" spans="1:17" ht="15.75" customHeight="1">
      <c r="A217" s="32"/>
      <c r="C217" s="245" t="s">
        <v>364</v>
      </c>
      <c r="E217" s="121" t="s">
        <v>112</v>
      </c>
      <c r="F217" s="122">
        <v>1800</v>
      </c>
      <c r="G217" s="123">
        <v>0.38169999999999998</v>
      </c>
      <c r="H217" s="54">
        <f t="shared" si="4"/>
        <v>687.06</v>
      </c>
      <c r="I217" s="32"/>
      <c r="J217" s="243">
        <v>4231</v>
      </c>
      <c r="K217" s="32"/>
    </row>
    <row r="218" spans="1:17" ht="15.75" customHeight="1">
      <c r="A218" s="8"/>
      <c r="B218" s="10"/>
      <c r="C218" s="10"/>
      <c r="D218" s="10"/>
      <c r="E218" s="125" t="s">
        <v>115</v>
      </c>
      <c r="F218" s="126">
        <v>4500</v>
      </c>
      <c r="G218" s="127">
        <v>0.59740000000000004</v>
      </c>
      <c r="H218" s="18">
        <f t="shared" si="4"/>
        <v>2688.3</v>
      </c>
      <c r="I218" s="8"/>
      <c r="J218" s="244">
        <v>4231</v>
      </c>
      <c r="K218" s="8"/>
      <c r="L218" s="10"/>
    </row>
    <row r="219" spans="1:17" ht="15.75" customHeight="1">
      <c r="A219" s="32"/>
      <c r="C219" s="245" t="s">
        <v>365</v>
      </c>
      <c r="E219" s="121" t="s">
        <v>117</v>
      </c>
      <c r="F219" s="122">
        <v>30</v>
      </c>
      <c r="G219" s="123">
        <v>7.9024000000000001</v>
      </c>
      <c r="H219" s="54">
        <f t="shared" si="4"/>
        <v>237.072</v>
      </c>
      <c r="I219" s="32"/>
      <c r="J219" s="243">
        <v>4233</v>
      </c>
      <c r="K219" s="32"/>
    </row>
    <row r="220" spans="1:17" ht="15.75" customHeight="1">
      <c r="A220" s="8"/>
      <c r="B220" s="10"/>
      <c r="C220" s="10"/>
      <c r="D220" s="10"/>
      <c r="E220" s="125" t="s">
        <v>119</v>
      </c>
      <c r="F220" s="126">
        <v>100</v>
      </c>
      <c r="G220" s="127">
        <v>5.0909000000000004</v>
      </c>
      <c r="H220" s="18">
        <f t="shared" si="4"/>
        <v>509.09000000000003</v>
      </c>
      <c r="I220" s="8"/>
      <c r="J220" s="244">
        <v>4233</v>
      </c>
      <c r="K220" s="8"/>
      <c r="L220" s="10"/>
    </row>
    <row r="221" spans="1:17" ht="15.75" customHeight="1">
      <c r="A221" s="32"/>
      <c r="C221" s="245" t="s">
        <v>375</v>
      </c>
      <c r="E221" s="121" t="s">
        <v>122</v>
      </c>
      <c r="F221" s="122">
        <v>12000</v>
      </c>
      <c r="G221" s="123">
        <v>3.4799999999999998E-2</v>
      </c>
      <c r="H221" s="54">
        <f t="shared" si="4"/>
        <v>417.59999999999997</v>
      </c>
      <c r="I221" s="246"/>
      <c r="J221" s="243">
        <v>4236</v>
      </c>
      <c r="K221" s="32"/>
      <c r="M221" s="247" t="s">
        <v>376</v>
      </c>
    </row>
    <row r="222" spans="1:17" ht="15.75" customHeight="1">
      <c r="A222" s="32"/>
      <c r="E222" s="121" t="s">
        <v>123</v>
      </c>
      <c r="F222" s="51">
        <v>6000</v>
      </c>
      <c r="G222" s="123">
        <v>3.5499999999999997E-2</v>
      </c>
      <c r="H222" s="54">
        <f t="shared" si="4"/>
        <v>212.99999999999997</v>
      </c>
      <c r="I222" s="248"/>
      <c r="J222" s="243">
        <v>4236</v>
      </c>
      <c r="K222" s="32">
        <v>46262</v>
      </c>
      <c r="L222">
        <v>723408</v>
      </c>
    </row>
    <row r="223" spans="1:17" ht="15.75" customHeight="1">
      <c r="A223" s="32"/>
      <c r="E223" s="121" t="s">
        <v>123</v>
      </c>
      <c r="F223" s="51">
        <v>6000</v>
      </c>
      <c r="G223" s="123">
        <v>3.5499999999999997E-2</v>
      </c>
      <c r="H223" s="54">
        <f t="shared" si="4"/>
        <v>212.99999999999997</v>
      </c>
      <c r="I223" s="32"/>
      <c r="J223" s="1"/>
      <c r="K223" s="32"/>
      <c r="L223" s="258" t="s">
        <v>384</v>
      </c>
    </row>
    <row r="224" spans="1:17" ht="15.75" customHeight="1">
      <c r="A224" s="8"/>
      <c r="B224" s="10"/>
      <c r="C224" s="10"/>
      <c r="D224" s="10"/>
      <c r="E224" s="125" t="s">
        <v>124</v>
      </c>
      <c r="F224" s="126">
        <v>9990</v>
      </c>
      <c r="G224" s="127">
        <v>7.8E-2</v>
      </c>
      <c r="H224" s="18">
        <f t="shared" si="4"/>
        <v>779.22</v>
      </c>
      <c r="I224" s="249"/>
      <c r="J224" s="244">
        <v>4236</v>
      </c>
      <c r="K224" s="8">
        <v>46267</v>
      </c>
      <c r="L224" s="10">
        <v>724578</v>
      </c>
    </row>
    <row r="225" spans="1:18" ht="15.75" customHeight="1">
      <c r="A225" s="32"/>
      <c r="C225" s="245" t="s">
        <v>377</v>
      </c>
      <c r="E225" s="121" t="s">
        <v>125</v>
      </c>
      <c r="F225" s="122">
        <v>15000</v>
      </c>
      <c r="G225" s="123">
        <v>0.15010000000000001</v>
      </c>
      <c r="H225" s="54">
        <f t="shared" si="4"/>
        <v>2251.5</v>
      </c>
      <c r="I225" s="32"/>
      <c r="J225" s="243">
        <v>4237</v>
      </c>
      <c r="K225" s="32"/>
    </row>
    <row r="226" spans="1:18" ht="15.75" customHeight="1">
      <c r="A226" s="8"/>
      <c r="B226" s="10"/>
      <c r="C226" s="10"/>
      <c r="D226" s="10"/>
      <c r="E226" s="125" t="s">
        <v>126</v>
      </c>
      <c r="F226" s="126">
        <v>6000</v>
      </c>
      <c r="G226" s="127">
        <v>0.1166</v>
      </c>
      <c r="H226" s="18">
        <f t="shared" si="4"/>
        <v>699.6</v>
      </c>
      <c r="I226" s="8"/>
      <c r="J226" s="244">
        <v>4764</v>
      </c>
      <c r="K226" s="8">
        <v>46260</v>
      </c>
      <c r="L226" s="10">
        <v>66791</v>
      </c>
    </row>
    <row r="227" spans="1:18" ht="15.75" customHeight="1">
      <c r="A227" s="131"/>
      <c r="B227" s="132"/>
      <c r="C227" s="250" t="s">
        <v>378</v>
      </c>
      <c r="D227" s="132"/>
      <c r="E227" s="133" t="s">
        <v>129</v>
      </c>
      <c r="F227" s="134">
        <v>50</v>
      </c>
      <c r="G227" s="135">
        <v>5.6477000000000004</v>
      </c>
      <c r="H227" s="136">
        <f t="shared" si="4"/>
        <v>282.38499999999999</v>
      </c>
      <c r="I227" s="131"/>
      <c r="J227" s="251">
        <v>4242</v>
      </c>
      <c r="K227" s="131"/>
      <c r="L227" s="132"/>
      <c r="M227" s="1">
        <v>9887.83</v>
      </c>
      <c r="N227" s="1"/>
      <c r="O227" s="1"/>
    </row>
    <row r="228" spans="1:18" ht="15.75" customHeight="1">
      <c r="A228" s="8"/>
      <c r="B228" s="10" t="s">
        <v>130</v>
      </c>
      <c r="C228" s="240" t="s">
        <v>379</v>
      </c>
      <c r="D228" s="10"/>
      <c r="E228" s="125" t="s">
        <v>131</v>
      </c>
      <c r="F228" s="126">
        <v>40</v>
      </c>
      <c r="G228" s="127">
        <v>5.3658000000000001</v>
      </c>
      <c r="H228" s="18">
        <f t="shared" ref="H228:H239" si="5">(F228*G228)</f>
        <v>214.63200000000001</v>
      </c>
      <c r="I228" s="8"/>
      <c r="J228" s="244">
        <v>4768</v>
      </c>
      <c r="K228" s="8"/>
      <c r="L228" s="10"/>
    </row>
    <row r="229" spans="1:18" ht="15.75" customHeight="1">
      <c r="A229" s="32"/>
      <c r="C229" s="245" t="s">
        <v>380</v>
      </c>
      <c r="E229" s="121" t="s">
        <v>132</v>
      </c>
      <c r="F229" s="122">
        <v>720</v>
      </c>
      <c r="G229" s="123">
        <v>5.2999999999999999E-2</v>
      </c>
      <c r="H229" s="54">
        <f t="shared" si="5"/>
        <v>38.159999999999997</v>
      </c>
      <c r="I229" s="32"/>
      <c r="J229" s="1"/>
      <c r="K229" s="32"/>
      <c r="L229" s="256"/>
    </row>
    <row r="230" spans="1:18" ht="15.75" customHeight="1">
      <c r="A230" s="8"/>
      <c r="B230" s="10"/>
      <c r="C230" s="10"/>
      <c r="D230" s="10"/>
      <c r="E230" s="125" t="s">
        <v>132</v>
      </c>
      <c r="F230" s="126">
        <v>720</v>
      </c>
      <c r="G230" s="127">
        <v>5.2999999999999999E-2</v>
      </c>
      <c r="H230" s="18">
        <f t="shared" si="5"/>
        <v>38.159999999999997</v>
      </c>
      <c r="I230" s="8"/>
      <c r="J230" s="10"/>
      <c r="K230" s="8"/>
      <c r="L230" s="10" t="s">
        <v>253</v>
      </c>
    </row>
    <row r="231" spans="1:18" ht="15.75" customHeight="1">
      <c r="A231" s="50"/>
      <c r="B231" s="53"/>
      <c r="C231" s="230" t="s">
        <v>375</v>
      </c>
      <c r="D231" s="53"/>
      <c r="E231" s="92" t="s">
        <v>134</v>
      </c>
      <c r="F231" s="93">
        <v>100</v>
      </c>
      <c r="G231" s="138">
        <v>5.1877000000000004</v>
      </c>
      <c r="H231" s="18">
        <f t="shared" si="5"/>
        <v>518.7700000000001</v>
      </c>
      <c r="I231" s="50"/>
      <c r="J231" s="252">
        <v>4767</v>
      </c>
      <c r="K231" s="50"/>
      <c r="L231" s="53"/>
    </row>
    <row r="232" spans="1:18" ht="15.75" customHeight="1">
      <c r="A232" s="50"/>
      <c r="B232" s="53"/>
      <c r="C232" s="230" t="s">
        <v>373</v>
      </c>
      <c r="D232" s="53"/>
      <c r="E232" s="92" t="s">
        <v>137</v>
      </c>
      <c r="F232" s="93">
        <v>50</v>
      </c>
      <c r="G232" s="138">
        <v>5.5975000000000001</v>
      </c>
      <c r="H232" s="18">
        <f t="shared" si="5"/>
        <v>279.875</v>
      </c>
      <c r="I232" s="50"/>
      <c r="J232" s="252">
        <v>4769</v>
      </c>
      <c r="K232" s="50"/>
      <c r="L232" s="53"/>
    </row>
    <row r="233" spans="1:18" ht="15.75" customHeight="1">
      <c r="A233" s="131"/>
      <c r="B233" s="132"/>
      <c r="C233" s="250" t="s">
        <v>369</v>
      </c>
      <c r="D233" s="132"/>
      <c r="E233" s="133" t="s">
        <v>138</v>
      </c>
      <c r="F233" s="134">
        <v>50</v>
      </c>
      <c r="G233" s="135">
        <v>5.6818</v>
      </c>
      <c r="H233" s="136">
        <f t="shared" si="5"/>
        <v>284.08999999999997</v>
      </c>
      <c r="I233" s="131"/>
      <c r="J233" s="132"/>
      <c r="K233" s="131"/>
      <c r="L233" s="132"/>
      <c r="M233" s="209">
        <v>1373.69</v>
      </c>
    </row>
    <row r="234" spans="1:18" ht="15.75" customHeight="1">
      <c r="A234" s="139"/>
      <c r="B234" s="141" t="s">
        <v>139</v>
      </c>
      <c r="C234" s="253" t="s">
        <v>256</v>
      </c>
      <c r="D234" s="141"/>
      <c r="E234" s="142" t="s">
        <v>140</v>
      </c>
      <c r="F234" s="143">
        <v>50</v>
      </c>
      <c r="G234" s="144">
        <v>1.5972</v>
      </c>
      <c r="H234" s="145">
        <f t="shared" si="5"/>
        <v>79.86</v>
      </c>
      <c r="I234" s="139"/>
      <c r="J234" s="141"/>
      <c r="K234" s="139"/>
      <c r="L234" s="141"/>
      <c r="M234" s="209">
        <v>79.86</v>
      </c>
    </row>
    <row r="235" spans="1:18" ht="15.75" customHeight="1">
      <c r="A235" s="146"/>
      <c r="B235" s="147" t="s">
        <v>142</v>
      </c>
      <c r="C235" s="147" t="s">
        <v>164</v>
      </c>
      <c r="D235" s="147"/>
      <c r="E235" s="148" t="s">
        <v>143</v>
      </c>
      <c r="F235" s="149">
        <v>50</v>
      </c>
      <c r="G235" s="150">
        <v>14.9</v>
      </c>
      <c r="H235" s="151">
        <f t="shared" si="5"/>
        <v>745</v>
      </c>
      <c r="I235" s="146"/>
      <c r="J235" s="147"/>
      <c r="K235" s="146"/>
      <c r="L235" s="147"/>
    </row>
    <row r="236" spans="1:18" ht="15.75" customHeight="1">
      <c r="A236" s="50"/>
      <c r="B236" s="53"/>
      <c r="C236" s="53" t="s">
        <v>369</v>
      </c>
      <c r="D236" s="53"/>
      <c r="E236" s="152" t="s">
        <v>146</v>
      </c>
      <c r="F236" s="93">
        <v>15000</v>
      </c>
      <c r="G236" s="59">
        <v>0.1</v>
      </c>
      <c r="H236" s="154">
        <f t="shared" si="5"/>
        <v>1500</v>
      </c>
      <c r="I236" s="53"/>
      <c r="J236" s="53"/>
      <c r="K236" s="50"/>
      <c r="L236" s="53" t="s">
        <v>383</v>
      </c>
    </row>
    <row r="237" spans="1:18" ht="15.75" customHeight="1">
      <c r="A237" s="155"/>
      <c r="B237" s="156"/>
      <c r="C237" s="254" t="s">
        <v>309</v>
      </c>
      <c r="D237" s="156"/>
      <c r="E237" s="157" t="s">
        <v>381</v>
      </c>
      <c r="F237" s="158">
        <v>100</v>
      </c>
      <c r="G237" s="159">
        <v>2.4489999999999998</v>
      </c>
      <c r="H237" s="160">
        <f t="shared" si="5"/>
        <v>244.89999999999998</v>
      </c>
      <c r="I237" s="155"/>
      <c r="J237" s="156"/>
      <c r="K237" s="155"/>
      <c r="L237" s="156"/>
      <c r="M237" s="69">
        <v>2489.9</v>
      </c>
      <c r="N237" s="69"/>
      <c r="O237" s="69"/>
      <c r="P237" s="69" t="s">
        <v>382</v>
      </c>
      <c r="Q237" s="177">
        <v>13831.28</v>
      </c>
      <c r="R237" s="69" t="s">
        <v>388</v>
      </c>
    </row>
    <row r="238" spans="1:18" ht="15.75" customHeight="1" thickTop="1">
      <c r="A238" s="32"/>
      <c r="B238" s="258" t="s">
        <v>385</v>
      </c>
      <c r="C238" s="259" t="s">
        <v>386</v>
      </c>
      <c r="E238" s="255" t="s">
        <v>293</v>
      </c>
      <c r="F238" s="51">
        <v>25</v>
      </c>
      <c r="G238" s="52">
        <v>7.81</v>
      </c>
      <c r="H238" s="54">
        <f t="shared" si="5"/>
        <v>195.25</v>
      </c>
      <c r="I238" s="32">
        <v>46254</v>
      </c>
      <c r="J238" s="1">
        <v>4791</v>
      </c>
      <c r="K238" s="32"/>
    </row>
    <row r="239" spans="1:18" ht="15.75" customHeight="1" thickBot="1">
      <c r="A239" s="260"/>
      <c r="B239" s="261"/>
      <c r="C239" s="261"/>
      <c r="D239" s="261"/>
      <c r="E239" s="262" t="s">
        <v>294</v>
      </c>
      <c r="F239" s="263">
        <v>25000</v>
      </c>
      <c r="G239" s="264">
        <v>0.26</v>
      </c>
      <c r="H239" s="265">
        <f t="shared" si="5"/>
        <v>6500</v>
      </c>
      <c r="I239" s="260">
        <v>46254</v>
      </c>
      <c r="J239" s="266">
        <v>4791</v>
      </c>
      <c r="K239" s="260"/>
      <c r="L239" s="261"/>
      <c r="M239" s="267">
        <v>6695.25</v>
      </c>
      <c r="N239" s="261"/>
      <c r="O239" s="268" t="s">
        <v>387</v>
      </c>
      <c r="P239" s="261"/>
      <c r="Q239" s="261"/>
      <c r="R239" s="261"/>
    </row>
    <row r="240" spans="1:18" ht="15.75" customHeight="1" thickTop="1">
      <c r="A240" s="32"/>
      <c r="E240" s="255"/>
      <c r="F240" s="51"/>
      <c r="G240" s="52"/>
      <c r="H240" s="54"/>
      <c r="I240" s="32"/>
      <c r="J240" s="1"/>
      <c r="K240" s="32"/>
    </row>
    <row r="241" spans="1:11" ht="15.75" customHeight="1">
      <c r="A241" s="32"/>
      <c r="E241" s="255"/>
      <c r="F241" s="51"/>
      <c r="G241" s="52"/>
      <c r="H241" s="54"/>
      <c r="I241" s="32"/>
      <c r="J241" s="1"/>
      <c r="K241" s="32"/>
    </row>
    <row r="242" spans="1:11" ht="15.75" customHeight="1">
      <c r="A242" s="32"/>
      <c r="E242" s="255"/>
      <c r="F242" s="51"/>
      <c r="G242" s="52"/>
      <c r="H242" s="54"/>
      <c r="I242" s="32"/>
      <c r="J242" s="1"/>
      <c r="K242" s="32"/>
    </row>
    <row r="243" spans="1:11" ht="15.75" customHeight="1">
      <c r="A243" s="32"/>
      <c r="E243" s="255"/>
      <c r="F243" s="51"/>
      <c r="G243" s="52"/>
      <c r="H243" s="54"/>
      <c r="I243" s="32"/>
      <c r="J243" s="1"/>
      <c r="K243" s="32"/>
    </row>
    <row r="244" spans="1:11" ht="15.75" customHeight="1">
      <c r="A244" s="32"/>
      <c r="E244" s="255"/>
      <c r="F244" s="51"/>
      <c r="G244" s="52"/>
      <c r="H244" s="54"/>
      <c r="I244" s="32"/>
      <c r="J244" s="1"/>
      <c r="K244" s="32"/>
    </row>
    <row r="245" spans="1:11" ht="15.75" customHeight="1">
      <c r="A245" s="32"/>
      <c r="E245" s="255"/>
      <c r="F245" s="51"/>
      <c r="G245" s="52"/>
      <c r="H245" s="54"/>
      <c r="I245" s="32"/>
      <c r="J245" s="1"/>
      <c r="K245" s="32"/>
    </row>
    <row r="246" spans="1:11" ht="15.75" customHeight="1">
      <c r="A246" s="32"/>
      <c r="E246" s="255"/>
      <c r="F246" s="51"/>
      <c r="G246" s="52"/>
      <c r="H246" s="54"/>
      <c r="I246" s="32"/>
      <c r="J246" s="1"/>
      <c r="K246" s="32"/>
    </row>
    <row r="247" spans="1:11" ht="15.75" customHeight="1">
      <c r="A247" s="32"/>
      <c r="E247" s="255"/>
      <c r="F247" s="51"/>
      <c r="G247" s="52"/>
      <c r="H247" s="54"/>
      <c r="I247" s="32"/>
      <c r="J247" s="1"/>
      <c r="K247" s="32"/>
    </row>
    <row r="248" spans="1:11" ht="15.75" customHeight="1">
      <c r="A248" s="32"/>
      <c r="E248" s="255"/>
      <c r="F248" s="51"/>
      <c r="G248" s="52"/>
      <c r="H248" s="54"/>
      <c r="I248" s="32"/>
      <c r="J248" s="1"/>
      <c r="K248" s="32"/>
    </row>
    <row r="249" spans="1:11" ht="15.75" customHeight="1">
      <c r="A249" s="32"/>
      <c r="E249" s="255"/>
      <c r="F249" s="51"/>
      <c r="G249" s="52"/>
      <c r="H249" s="54"/>
      <c r="I249" s="32"/>
      <c r="J249" s="1"/>
      <c r="K249" s="32"/>
    </row>
    <row r="250" spans="1:11" ht="15.75" customHeight="1">
      <c r="A250" s="32"/>
      <c r="E250" s="255"/>
      <c r="F250" s="51"/>
      <c r="G250" s="52"/>
      <c r="H250" s="54"/>
      <c r="I250" s="32"/>
      <c r="J250" s="1"/>
      <c r="K250" s="32"/>
    </row>
    <row r="251" spans="1:11" ht="15.75" customHeight="1">
      <c r="A251" s="32"/>
      <c r="E251" s="255"/>
      <c r="F251" s="51"/>
      <c r="G251" s="52"/>
      <c r="H251" s="54"/>
      <c r="I251" s="32"/>
      <c r="J251" s="1"/>
      <c r="K251" s="32"/>
    </row>
    <row r="252" spans="1:11" ht="15.75" customHeight="1">
      <c r="A252" s="32"/>
      <c r="E252" s="255"/>
      <c r="F252" s="51"/>
      <c r="G252" s="52"/>
      <c r="H252" s="54"/>
      <c r="I252" s="32"/>
      <c r="J252" s="1"/>
      <c r="K252" s="32"/>
    </row>
    <row r="253" spans="1:11" ht="15.75" customHeight="1">
      <c r="A253" s="32"/>
      <c r="E253" s="255"/>
      <c r="F253" s="51"/>
      <c r="G253" s="52"/>
      <c r="H253" s="54"/>
      <c r="I253" s="32"/>
      <c r="J253" s="1"/>
      <c r="K253" s="32"/>
    </row>
    <row r="254" spans="1:11" ht="15.75" customHeight="1">
      <c r="A254" s="32"/>
      <c r="E254" s="255"/>
      <c r="F254" s="51"/>
      <c r="G254" s="52"/>
      <c r="H254" s="54"/>
      <c r="I254" s="32"/>
      <c r="J254" s="1"/>
      <c r="K254" s="32"/>
    </row>
    <row r="255" spans="1:11" ht="15.75" customHeight="1">
      <c r="A255" s="32"/>
      <c r="E255" s="255"/>
      <c r="F255" s="51"/>
      <c r="G255" s="52"/>
      <c r="H255" s="54"/>
      <c r="I255" s="32"/>
      <c r="J255" s="1"/>
      <c r="K255" s="32"/>
    </row>
    <row r="256" spans="1:11" ht="15.75" customHeight="1">
      <c r="A256" s="32"/>
      <c r="E256" s="255"/>
      <c r="F256" s="51"/>
      <c r="G256" s="52"/>
      <c r="H256" s="54"/>
      <c r="I256" s="32"/>
      <c r="J256" s="1"/>
      <c r="K256" s="32"/>
    </row>
    <row r="257" spans="1:11" ht="15.75" customHeight="1">
      <c r="A257" s="32"/>
      <c r="E257" s="255"/>
      <c r="F257" s="51"/>
      <c r="G257" s="52"/>
      <c r="H257" s="54"/>
      <c r="I257" s="32"/>
      <c r="J257" s="1"/>
      <c r="K257" s="32"/>
    </row>
    <row r="258" spans="1:11" ht="15.75" customHeight="1">
      <c r="A258" s="32"/>
      <c r="E258" s="255"/>
      <c r="F258" s="51"/>
      <c r="G258" s="52"/>
      <c r="H258" s="54"/>
      <c r="I258" s="32"/>
      <c r="J258" s="1"/>
      <c r="K258" s="32"/>
    </row>
    <row r="259" spans="1:11" ht="15.75" customHeight="1">
      <c r="A259" s="32"/>
      <c r="E259" s="255"/>
      <c r="F259" s="51"/>
      <c r="G259" s="52"/>
      <c r="H259" s="54"/>
      <c r="I259" s="32"/>
      <c r="J259" s="1"/>
      <c r="K259" s="32"/>
    </row>
    <row r="260" spans="1:11" ht="15.75" customHeight="1">
      <c r="A260" s="32"/>
      <c r="E260" s="255"/>
      <c r="F260" s="51"/>
      <c r="G260" s="52"/>
      <c r="H260" s="54"/>
      <c r="I260" s="32"/>
      <c r="J260" s="1"/>
      <c r="K260" s="32"/>
    </row>
    <row r="261" spans="1:11" ht="15.75" customHeight="1">
      <c r="A261" s="32"/>
      <c r="E261" s="255"/>
      <c r="F261" s="51"/>
      <c r="G261" s="52"/>
      <c r="H261" s="54"/>
      <c r="I261" s="32"/>
      <c r="J261" s="1"/>
      <c r="K261" s="32"/>
    </row>
    <row r="262" spans="1:11" ht="15.75" customHeight="1">
      <c r="A262" s="32"/>
      <c r="E262" s="255"/>
      <c r="F262" s="51"/>
      <c r="G262" s="52"/>
      <c r="H262" s="54"/>
      <c r="I262" s="32"/>
      <c r="J262" s="1"/>
      <c r="K262" s="32"/>
    </row>
    <row r="263" spans="1:11" ht="15.75" customHeight="1">
      <c r="A263" s="32"/>
      <c r="E263" s="255"/>
      <c r="F263" s="51"/>
      <c r="G263" s="52"/>
      <c r="H263" s="54"/>
      <c r="I263" s="32"/>
      <c r="J263" s="1"/>
      <c r="K263" s="32"/>
    </row>
    <row r="264" spans="1:11" ht="15.75" customHeight="1">
      <c r="A264" s="32"/>
      <c r="E264" s="255"/>
      <c r="F264" s="51"/>
      <c r="G264" s="52"/>
      <c r="H264" s="54"/>
      <c r="I264" s="32"/>
      <c r="J264" s="1"/>
      <c r="K264" s="32"/>
    </row>
    <row r="265" spans="1:11" ht="15.75" customHeight="1">
      <c r="A265" s="32"/>
      <c r="E265" s="255"/>
      <c r="F265" s="51"/>
      <c r="G265" s="52"/>
      <c r="H265" s="54"/>
      <c r="I265" s="32"/>
      <c r="J265" s="1"/>
      <c r="K265" s="32"/>
    </row>
    <row r="266" spans="1:11" ht="15.75" customHeight="1">
      <c r="A266" s="32"/>
      <c r="E266" s="255"/>
      <c r="F266" s="51"/>
      <c r="G266" s="52"/>
      <c r="H266" s="54"/>
      <c r="I266" s="32"/>
      <c r="J266" s="1"/>
      <c r="K266" s="32"/>
    </row>
    <row r="267" spans="1:11" ht="15.75" customHeight="1">
      <c r="A267" s="32"/>
      <c r="E267" s="255"/>
      <c r="F267" s="51"/>
      <c r="G267" s="52"/>
      <c r="H267" s="54"/>
      <c r="I267" s="32"/>
      <c r="J267" s="1"/>
      <c r="K267" s="32"/>
    </row>
    <row r="268" spans="1:11" ht="15.75" customHeight="1">
      <c r="A268" s="32"/>
      <c r="E268" s="255"/>
      <c r="F268" s="51"/>
      <c r="G268" s="52"/>
      <c r="H268" s="54"/>
      <c r="I268" s="32"/>
      <c r="J268" s="1"/>
      <c r="K268" s="32"/>
    </row>
    <row r="269" spans="1:11" ht="15.75" customHeight="1">
      <c r="A269" s="32"/>
      <c r="E269" s="255"/>
      <c r="F269" s="51"/>
      <c r="G269" s="52"/>
      <c r="H269" s="54"/>
      <c r="I269" s="32"/>
      <c r="J269" s="1"/>
      <c r="K269" s="32"/>
    </row>
    <row r="270" spans="1:11" ht="15.75" customHeight="1">
      <c r="A270" s="32"/>
      <c r="E270" s="255"/>
      <c r="F270" s="51"/>
      <c r="G270" s="52"/>
      <c r="H270" s="54"/>
      <c r="I270" s="32"/>
      <c r="J270" s="1"/>
      <c r="K270" s="32"/>
    </row>
    <row r="271" spans="1:11" ht="15.75" customHeight="1">
      <c r="A271" s="32"/>
      <c r="E271" s="255"/>
      <c r="F271" s="51"/>
      <c r="G271" s="52"/>
      <c r="H271" s="54"/>
      <c r="I271" s="32"/>
      <c r="J271" s="1"/>
      <c r="K271" s="32"/>
    </row>
    <row r="272" spans="1:11" ht="15.75" customHeight="1">
      <c r="A272" s="32"/>
      <c r="E272" s="255"/>
      <c r="F272" s="51"/>
      <c r="G272" s="52"/>
      <c r="H272" s="54"/>
      <c r="I272" s="32"/>
      <c r="J272" s="1"/>
      <c r="K272" s="32"/>
    </row>
    <row r="273" spans="1:11" ht="15.75" customHeight="1">
      <c r="A273" s="32"/>
      <c r="E273" s="255"/>
      <c r="F273" s="51"/>
      <c r="G273" s="52"/>
      <c r="H273" s="54"/>
      <c r="I273" s="32"/>
      <c r="J273" s="1"/>
      <c r="K273" s="32"/>
    </row>
    <row r="274" spans="1:11" ht="15.75" customHeight="1">
      <c r="A274" s="32"/>
      <c r="E274" s="255"/>
      <c r="F274" s="51"/>
      <c r="G274" s="52"/>
      <c r="H274" s="54"/>
      <c r="I274" s="32"/>
      <c r="J274" s="1"/>
      <c r="K274" s="32"/>
    </row>
    <row r="275" spans="1:11" ht="15.75" customHeight="1">
      <c r="A275" s="32"/>
      <c r="E275" s="255"/>
      <c r="F275" s="51"/>
      <c r="G275" s="52"/>
      <c r="H275" s="54"/>
      <c r="I275" s="32"/>
      <c r="J275" s="1"/>
      <c r="K275" s="32"/>
    </row>
    <row r="276" spans="1:11" ht="15.75" customHeight="1">
      <c r="A276" s="32"/>
      <c r="E276" s="255"/>
      <c r="F276" s="51"/>
      <c r="G276" s="52"/>
      <c r="H276" s="54"/>
      <c r="I276" s="32"/>
      <c r="J276" s="1"/>
      <c r="K276" s="32"/>
    </row>
    <row r="277" spans="1:11" ht="15.75" customHeight="1">
      <c r="A277" s="32"/>
      <c r="E277" s="255"/>
      <c r="F277" s="51"/>
      <c r="G277" s="52"/>
      <c r="H277" s="54"/>
      <c r="I277" s="32"/>
      <c r="J277" s="1"/>
      <c r="K277" s="32"/>
    </row>
    <row r="278" spans="1:11" ht="15.75" customHeight="1">
      <c r="A278" s="32"/>
      <c r="E278" s="255"/>
      <c r="F278" s="51"/>
      <c r="G278" s="52"/>
      <c r="H278" s="54"/>
      <c r="I278" s="32"/>
      <c r="J278" s="1"/>
      <c r="K278" s="32"/>
    </row>
    <row r="279" spans="1:11" ht="15.75" customHeight="1">
      <c r="A279" s="32"/>
      <c r="E279" s="255"/>
      <c r="F279" s="51"/>
      <c r="G279" s="52"/>
      <c r="H279" s="54"/>
      <c r="I279" s="32"/>
      <c r="J279" s="1"/>
      <c r="K279" s="32"/>
    </row>
    <row r="280" spans="1:11" ht="15.75" customHeight="1">
      <c r="A280" s="32"/>
      <c r="E280" s="255"/>
      <c r="F280" s="51"/>
      <c r="G280" s="52"/>
      <c r="H280" s="54"/>
      <c r="I280" s="32"/>
      <c r="J280" s="1"/>
      <c r="K280" s="32"/>
    </row>
    <row r="281" spans="1:11" ht="15.75" customHeight="1">
      <c r="A281" s="32"/>
      <c r="E281" s="255"/>
      <c r="F281" s="51"/>
      <c r="G281" s="52"/>
      <c r="H281" s="54"/>
      <c r="I281" s="32"/>
      <c r="J281" s="1"/>
      <c r="K281" s="32"/>
    </row>
    <row r="282" spans="1:11" ht="15.75" customHeight="1">
      <c r="A282" s="32"/>
      <c r="E282" s="255"/>
      <c r="F282" s="51"/>
      <c r="G282" s="52"/>
      <c r="H282" s="54"/>
      <c r="I282" s="32"/>
      <c r="J282" s="1"/>
      <c r="K282" s="32"/>
    </row>
    <row r="283" spans="1:11" ht="15.75" customHeight="1">
      <c r="A283" s="32"/>
      <c r="E283" s="255"/>
      <c r="F283" s="51"/>
      <c r="G283" s="52"/>
      <c r="H283" s="54"/>
      <c r="I283" s="32"/>
      <c r="J283" s="1"/>
      <c r="K283" s="32"/>
    </row>
    <row r="284" spans="1:11" ht="15.75" customHeight="1">
      <c r="A284" s="32"/>
      <c r="E284" s="255"/>
      <c r="F284" s="51"/>
      <c r="G284" s="52"/>
      <c r="H284" s="54"/>
      <c r="I284" s="32"/>
      <c r="J284" s="1"/>
      <c r="K284" s="32"/>
    </row>
    <row r="285" spans="1:11" ht="15.75" customHeight="1">
      <c r="A285" s="32"/>
      <c r="E285" s="255"/>
      <c r="F285" s="51"/>
      <c r="G285" s="52"/>
      <c r="H285" s="54"/>
      <c r="I285" s="32"/>
      <c r="J285" s="1"/>
      <c r="K285" s="32"/>
    </row>
    <row r="286" spans="1:11" ht="15.75" customHeight="1">
      <c r="A286" s="32"/>
      <c r="E286" s="255"/>
      <c r="F286" s="51"/>
      <c r="G286" s="52"/>
      <c r="H286" s="54"/>
      <c r="I286" s="32"/>
      <c r="J286" s="1"/>
      <c r="K286" s="32"/>
    </row>
    <row r="287" spans="1:11" ht="15.75" customHeight="1">
      <c r="A287" s="32"/>
      <c r="E287" s="255"/>
      <c r="F287" s="51"/>
      <c r="G287" s="52"/>
      <c r="H287" s="54"/>
      <c r="I287" s="32"/>
      <c r="J287" s="1"/>
      <c r="K287" s="32"/>
    </row>
    <row r="288" spans="1:11" ht="15.75" customHeight="1">
      <c r="A288" s="32"/>
      <c r="E288" s="255"/>
      <c r="F288" s="51"/>
      <c r="G288" s="52"/>
      <c r="H288" s="54"/>
      <c r="I288" s="32"/>
      <c r="J288" s="1"/>
      <c r="K288" s="32"/>
    </row>
    <row r="289" spans="1:11" ht="15.75" customHeight="1">
      <c r="A289" s="32"/>
      <c r="E289" s="255"/>
      <c r="F289" s="51"/>
      <c r="G289" s="52"/>
      <c r="H289" s="54"/>
      <c r="I289" s="32"/>
      <c r="J289" s="1"/>
      <c r="K289" s="32"/>
    </row>
    <row r="290" spans="1:11" ht="15.75" customHeight="1">
      <c r="A290" s="32"/>
      <c r="E290" s="255"/>
      <c r="F290" s="51"/>
      <c r="G290" s="52"/>
      <c r="H290" s="54"/>
      <c r="I290" s="32"/>
      <c r="J290" s="1"/>
      <c r="K290" s="32"/>
    </row>
    <row r="291" spans="1:11" ht="15.75" customHeight="1">
      <c r="A291" s="32"/>
      <c r="E291" s="255"/>
      <c r="F291" s="51"/>
      <c r="G291" s="52"/>
      <c r="H291" s="54"/>
      <c r="I291" s="32"/>
      <c r="J291" s="1"/>
      <c r="K291" s="32"/>
    </row>
    <row r="292" spans="1:11" ht="15.75" customHeight="1">
      <c r="A292" s="32"/>
      <c r="E292" s="255"/>
      <c r="F292" s="51"/>
      <c r="G292" s="52"/>
      <c r="H292" s="54"/>
      <c r="I292" s="32"/>
      <c r="J292" s="1"/>
      <c r="K292" s="32"/>
    </row>
    <row r="293" spans="1:11" ht="15.75" customHeight="1">
      <c r="A293" s="32"/>
      <c r="E293" s="255"/>
      <c r="F293" s="51"/>
      <c r="G293" s="52"/>
      <c r="H293" s="54"/>
      <c r="I293" s="32"/>
      <c r="J293" s="1"/>
      <c r="K293" s="32"/>
    </row>
    <row r="294" spans="1:11" ht="15.75" customHeight="1">
      <c r="A294" s="32"/>
      <c r="E294" s="255"/>
      <c r="F294" s="51"/>
      <c r="G294" s="52"/>
      <c r="H294" s="54"/>
      <c r="I294" s="32"/>
      <c r="J294" s="1"/>
      <c r="K294" s="32"/>
    </row>
    <row r="295" spans="1:11" ht="15.75" customHeight="1">
      <c r="A295" s="32"/>
      <c r="E295" s="255"/>
      <c r="F295" s="51"/>
      <c r="G295" s="52"/>
      <c r="H295" s="54"/>
      <c r="I295" s="32"/>
      <c r="J295" s="1"/>
      <c r="K295" s="32"/>
    </row>
    <row r="296" spans="1:11" ht="15.75" customHeight="1">
      <c r="A296" s="32"/>
      <c r="E296" s="255"/>
      <c r="F296" s="51"/>
      <c r="G296" s="52"/>
      <c r="H296" s="54"/>
      <c r="I296" s="32"/>
      <c r="J296" s="1"/>
      <c r="K296" s="32"/>
    </row>
    <row r="297" spans="1:11" ht="15.75" customHeight="1">
      <c r="A297" s="32"/>
      <c r="E297" s="255"/>
      <c r="F297" s="51"/>
      <c r="G297" s="52"/>
      <c r="H297" s="54"/>
      <c r="I297" s="32"/>
      <c r="J297" s="1"/>
      <c r="K297" s="32"/>
    </row>
    <row r="298" spans="1:11" ht="15.75" customHeight="1">
      <c r="A298" s="32"/>
      <c r="E298" s="255"/>
      <c r="F298" s="51"/>
      <c r="G298" s="52"/>
      <c r="H298" s="54"/>
      <c r="I298" s="32"/>
      <c r="J298" s="1"/>
      <c r="K298" s="32"/>
    </row>
    <row r="299" spans="1:11" ht="15.75" customHeight="1">
      <c r="A299" s="32"/>
      <c r="E299" s="255"/>
      <c r="F299" s="51"/>
      <c r="G299" s="52"/>
      <c r="H299" s="54"/>
      <c r="I299" s="32"/>
      <c r="J299" s="1"/>
      <c r="K299" s="32"/>
    </row>
    <row r="300" spans="1:11" ht="15.75" customHeight="1">
      <c r="A300" s="32"/>
      <c r="E300" s="255"/>
      <c r="F300" s="51"/>
      <c r="G300" s="52"/>
      <c r="H300" s="54"/>
      <c r="I300" s="32"/>
      <c r="J300" s="1"/>
      <c r="K300" s="32"/>
    </row>
    <row r="301" spans="1:11" ht="15.75" customHeight="1">
      <c r="A301" s="32"/>
      <c r="E301" s="255"/>
      <c r="F301" s="51"/>
      <c r="G301" s="52"/>
      <c r="H301" s="54"/>
      <c r="I301" s="32"/>
      <c r="J301" s="1"/>
      <c r="K301" s="32"/>
    </row>
    <row r="302" spans="1:11" ht="15.75" customHeight="1">
      <c r="A302" s="32"/>
      <c r="E302" s="255"/>
      <c r="F302" s="51"/>
      <c r="G302" s="52"/>
      <c r="H302" s="54"/>
      <c r="I302" s="32"/>
      <c r="J302" s="1"/>
      <c r="K302" s="32"/>
    </row>
    <row r="303" spans="1:11" ht="15.75" customHeight="1">
      <c r="A303" s="32"/>
      <c r="E303" s="255"/>
      <c r="F303" s="51"/>
      <c r="G303" s="52"/>
      <c r="H303" s="54"/>
      <c r="I303" s="32"/>
      <c r="J303" s="1"/>
      <c r="K303" s="32"/>
    </row>
    <row r="304" spans="1:11" ht="15.75" customHeight="1">
      <c r="A304" s="32"/>
      <c r="E304" s="255"/>
      <c r="F304" s="51"/>
      <c r="G304" s="52"/>
      <c r="H304" s="54"/>
      <c r="I304" s="32"/>
      <c r="J304" s="1"/>
      <c r="K304" s="32"/>
    </row>
    <row r="305" spans="1:11" ht="15.75" customHeight="1">
      <c r="A305" s="32"/>
      <c r="E305" s="255"/>
      <c r="F305" s="51"/>
      <c r="G305" s="52"/>
      <c r="H305" s="54"/>
      <c r="I305" s="32"/>
      <c r="J305" s="1"/>
      <c r="K305" s="32"/>
    </row>
    <row r="306" spans="1:11" ht="15.75" customHeight="1">
      <c r="A306" s="32"/>
      <c r="E306" s="255"/>
      <c r="F306" s="51"/>
      <c r="G306" s="52"/>
      <c r="H306" s="54"/>
      <c r="I306" s="32"/>
      <c r="J306" s="1"/>
      <c r="K306" s="32"/>
    </row>
    <row r="307" spans="1:11" ht="15.75" customHeight="1">
      <c r="A307" s="32"/>
      <c r="E307" s="255"/>
      <c r="F307" s="51"/>
      <c r="G307" s="52"/>
      <c r="H307" s="54"/>
      <c r="I307" s="32"/>
      <c r="J307" s="1"/>
      <c r="K307" s="32"/>
    </row>
    <row r="308" spans="1:11" ht="15.75" customHeight="1">
      <c r="A308" s="32"/>
      <c r="E308" s="255"/>
      <c r="F308" s="51"/>
      <c r="G308" s="52"/>
      <c r="H308" s="54"/>
      <c r="I308" s="32"/>
      <c r="J308" s="1"/>
      <c r="K308" s="32"/>
    </row>
    <row r="309" spans="1:11" ht="15.75" customHeight="1">
      <c r="A309" s="32"/>
      <c r="E309" s="255"/>
      <c r="F309" s="51"/>
      <c r="G309" s="52"/>
      <c r="H309" s="54"/>
      <c r="I309" s="32"/>
      <c r="J309" s="1"/>
      <c r="K309" s="32"/>
    </row>
    <row r="310" spans="1:11" ht="15.75" customHeight="1">
      <c r="A310" s="32"/>
      <c r="E310" s="255"/>
      <c r="F310" s="51"/>
      <c r="G310" s="52"/>
      <c r="H310" s="54"/>
      <c r="I310" s="32"/>
      <c r="J310" s="1"/>
      <c r="K310" s="32"/>
    </row>
    <row r="311" spans="1:11" ht="15.75" customHeight="1">
      <c r="A311" s="32"/>
      <c r="E311" s="255"/>
      <c r="F311" s="51"/>
      <c r="G311" s="52"/>
      <c r="H311" s="54"/>
      <c r="I311" s="32"/>
      <c r="J311" s="1"/>
      <c r="K311" s="32"/>
    </row>
    <row r="312" spans="1:11" ht="15.75" customHeight="1">
      <c r="A312" s="32"/>
      <c r="E312" s="255"/>
      <c r="F312" s="51"/>
      <c r="G312" s="52"/>
      <c r="H312" s="54"/>
      <c r="I312" s="32"/>
      <c r="J312" s="1"/>
      <c r="K312" s="32"/>
    </row>
    <row r="313" spans="1:11" ht="15.75" customHeight="1">
      <c r="A313" s="32"/>
      <c r="E313" s="255"/>
      <c r="F313" s="51"/>
      <c r="G313" s="52"/>
      <c r="H313" s="54"/>
      <c r="I313" s="32"/>
      <c r="J313" s="1"/>
      <c r="K313" s="32"/>
    </row>
    <row r="314" spans="1:11" ht="15.75" customHeight="1">
      <c r="A314" s="32"/>
      <c r="E314" s="255"/>
      <c r="F314" s="51"/>
      <c r="G314" s="52"/>
      <c r="H314" s="54"/>
      <c r="I314" s="32"/>
      <c r="J314" s="1"/>
      <c r="K314" s="32"/>
    </row>
    <row r="315" spans="1:11" ht="15.75" customHeight="1">
      <c r="A315" s="32"/>
      <c r="E315" s="255"/>
      <c r="F315" s="51"/>
      <c r="G315" s="52"/>
      <c r="H315" s="54"/>
      <c r="I315" s="32"/>
      <c r="J315" s="1"/>
      <c r="K315" s="32"/>
    </row>
    <row r="316" spans="1:11" ht="15.75" customHeight="1">
      <c r="A316" s="32"/>
      <c r="E316" s="255"/>
      <c r="F316" s="51"/>
      <c r="G316" s="52"/>
      <c r="H316" s="54"/>
      <c r="I316" s="32"/>
      <c r="J316" s="1"/>
      <c r="K316" s="32"/>
    </row>
    <row r="317" spans="1:11" ht="15.75" customHeight="1">
      <c r="A317" s="32"/>
      <c r="E317" s="255"/>
      <c r="F317" s="51"/>
      <c r="G317" s="52"/>
      <c r="H317" s="54"/>
      <c r="I317" s="32"/>
      <c r="J317" s="1"/>
      <c r="K317" s="32"/>
    </row>
    <row r="318" spans="1:11" ht="15.75" customHeight="1">
      <c r="A318" s="32"/>
      <c r="E318" s="255"/>
      <c r="F318" s="51"/>
      <c r="G318" s="52"/>
      <c r="H318" s="54"/>
      <c r="I318" s="32"/>
      <c r="J318" s="1"/>
      <c r="K318" s="32"/>
    </row>
    <row r="319" spans="1:11" ht="15.75" customHeight="1">
      <c r="A319" s="32"/>
      <c r="E319" s="255"/>
      <c r="F319" s="51"/>
      <c r="G319" s="52"/>
      <c r="H319" s="54"/>
      <c r="I319" s="32"/>
      <c r="J319" s="1"/>
      <c r="K319" s="32"/>
    </row>
    <row r="320" spans="1:11" ht="15.75" customHeight="1">
      <c r="A320" s="32"/>
      <c r="E320" s="255"/>
      <c r="F320" s="51"/>
      <c r="G320" s="52"/>
      <c r="H320" s="54"/>
      <c r="I320" s="32"/>
      <c r="J320" s="1"/>
      <c r="K320" s="32"/>
    </row>
    <row r="321" spans="1:11" ht="15.75" customHeight="1">
      <c r="A321" s="32"/>
      <c r="E321" s="255"/>
      <c r="F321" s="51"/>
      <c r="G321" s="52"/>
      <c r="H321" s="54"/>
      <c r="I321" s="32"/>
      <c r="J321" s="1"/>
      <c r="K321" s="32"/>
    </row>
    <row r="322" spans="1:11" ht="15.75" customHeight="1">
      <c r="A322" s="32"/>
      <c r="E322" s="255"/>
      <c r="F322" s="51"/>
      <c r="G322" s="52"/>
      <c r="H322" s="54"/>
      <c r="I322" s="32"/>
      <c r="J322" s="1"/>
      <c r="K322" s="32"/>
    </row>
    <row r="323" spans="1:11" ht="15.75" customHeight="1">
      <c r="A323" s="32"/>
      <c r="E323" s="255"/>
      <c r="F323" s="51"/>
      <c r="G323" s="52"/>
      <c r="H323" s="54"/>
      <c r="I323" s="32"/>
      <c r="J323" s="1"/>
      <c r="K323" s="32"/>
    </row>
    <row r="324" spans="1:11" ht="15.75" customHeight="1">
      <c r="A324" s="32"/>
      <c r="E324" s="255"/>
      <c r="F324" s="51"/>
      <c r="G324" s="52"/>
      <c r="H324" s="54"/>
      <c r="I324" s="32"/>
      <c r="J324" s="1"/>
      <c r="K324" s="32"/>
    </row>
    <row r="325" spans="1:11" ht="15.75" customHeight="1">
      <c r="A325" s="32"/>
      <c r="E325" s="255"/>
      <c r="F325" s="51"/>
      <c r="G325" s="52"/>
      <c r="H325" s="54"/>
      <c r="I325" s="32"/>
      <c r="J325" s="1"/>
      <c r="K325" s="32"/>
    </row>
    <row r="326" spans="1:11" ht="15.75" customHeight="1">
      <c r="A326" s="32"/>
      <c r="E326" s="255"/>
      <c r="F326" s="51"/>
      <c r="G326" s="52"/>
      <c r="H326" s="54"/>
      <c r="I326" s="32"/>
      <c r="J326" s="1"/>
      <c r="K326" s="32"/>
    </row>
    <row r="327" spans="1:11" ht="15.75" customHeight="1">
      <c r="A327" s="32"/>
      <c r="E327" s="255"/>
      <c r="F327" s="51"/>
      <c r="G327" s="52"/>
      <c r="H327" s="54"/>
      <c r="I327" s="32"/>
      <c r="J327" s="1"/>
      <c r="K327" s="32"/>
    </row>
    <row r="328" spans="1:11" ht="15.75" customHeight="1">
      <c r="A328" s="32"/>
      <c r="E328" s="255"/>
      <c r="F328" s="51"/>
      <c r="G328" s="52"/>
      <c r="H328" s="54"/>
      <c r="I328" s="32"/>
      <c r="J328" s="1"/>
      <c r="K328" s="32"/>
    </row>
    <row r="329" spans="1:11" ht="15.75" customHeight="1">
      <c r="A329" s="32"/>
      <c r="E329" s="255"/>
      <c r="F329" s="51"/>
      <c r="G329" s="52"/>
      <c r="H329" s="54"/>
      <c r="I329" s="32"/>
      <c r="J329" s="1"/>
      <c r="K329" s="32"/>
    </row>
    <row r="330" spans="1:11" ht="15.75" customHeight="1">
      <c r="A330" s="32"/>
      <c r="E330" s="255"/>
      <c r="F330" s="51"/>
      <c r="G330" s="52"/>
      <c r="H330" s="54"/>
      <c r="I330" s="32"/>
      <c r="J330" s="1"/>
      <c r="K330" s="32"/>
    </row>
    <row r="331" spans="1:11" ht="15.75" customHeight="1">
      <c r="A331" s="32"/>
      <c r="E331" s="255"/>
      <c r="F331" s="51"/>
      <c r="G331" s="52"/>
      <c r="H331" s="54"/>
      <c r="I331" s="32"/>
      <c r="J331" s="1"/>
      <c r="K331" s="32"/>
    </row>
    <row r="332" spans="1:11" ht="15.75" customHeight="1">
      <c r="A332" s="32"/>
      <c r="E332" s="255"/>
      <c r="F332" s="51"/>
      <c r="G332" s="52"/>
      <c r="H332" s="54"/>
      <c r="I332" s="32"/>
      <c r="J332" s="1"/>
      <c r="K332" s="32"/>
    </row>
    <row r="333" spans="1:11" ht="15.75" customHeight="1">
      <c r="A333" s="32"/>
      <c r="E333" s="255"/>
      <c r="F333" s="51"/>
      <c r="G333" s="52"/>
      <c r="H333" s="54"/>
      <c r="I333" s="32"/>
      <c r="J333" s="1"/>
      <c r="K333" s="32"/>
    </row>
    <row r="334" spans="1:11" ht="15.75" customHeight="1">
      <c r="A334" s="32"/>
      <c r="E334" s="255"/>
      <c r="F334" s="51"/>
      <c r="G334" s="52"/>
      <c r="H334" s="54"/>
      <c r="I334" s="32"/>
      <c r="J334" s="1"/>
      <c r="K334" s="32"/>
    </row>
    <row r="335" spans="1:11" ht="15.75" customHeight="1">
      <c r="A335" s="32"/>
      <c r="E335" s="255"/>
      <c r="F335" s="51"/>
      <c r="G335" s="52"/>
      <c r="H335" s="54"/>
      <c r="I335" s="32"/>
      <c r="J335" s="1"/>
      <c r="K335" s="32"/>
    </row>
    <row r="336" spans="1:11" ht="15.75" customHeight="1">
      <c r="A336" s="32"/>
      <c r="E336" s="255"/>
      <c r="F336" s="51"/>
      <c r="G336" s="52"/>
      <c r="H336" s="54"/>
      <c r="I336" s="32"/>
      <c r="J336" s="1"/>
      <c r="K336" s="32"/>
    </row>
    <row r="337" spans="1:11" ht="15.75" customHeight="1">
      <c r="A337" s="32"/>
      <c r="E337" s="255"/>
      <c r="F337" s="51"/>
      <c r="G337" s="52"/>
      <c r="H337" s="54"/>
      <c r="I337" s="32"/>
      <c r="J337" s="1"/>
      <c r="K337" s="32"/>
    </row>
    <row r="338" spans="1:11" ht="15.75" customHeight="1">
      <c r="A338" s="32"/>
      <c r="E338" s="255"/>
      <c r="F338" s="51"/>
      <c r="G338" s="52"/>
      <c r="H338" s="54"/>
      <c r="I338" s="32"/>
      <c r="J338" s="1"/>
      <c r="K338" s="32"/>
    </row>
    <row r="339" spans="1:11" ht="15.75" customHeight="1">
      <c r="A339" s="32"/>
      <c r="E339" s="255"/>
      <c r="F339" s="51"/>
      <c r="G339" s="52"/>
      <c r="H339" s="54"/>
      <c r="I339" s="32"/>
      <c r="J339" s="1"/>
      <c r="K339" s="32"/>
    </row>
    <row r="340" spans="1:11" ht="15.75" customHeight="1">
      <c r="A340" s="32"/>
      <c r="E340" s="255"/>
      <c r="F340" s="51"/>
      <c r="G340" s="52"/>
      <c r="H340" s="54"/>
      <c r="I340" s="32"/>
      <c r="J340" s="1"/>
      <c r="K340" s="32"/>
    </row>
    <row r="341" spans="1:11" ht="15.75" customHeight="1">
      <c r="A341" s="32"/>
      <c r="E341" s="255"/>
      <c r="F341" s="51"/>
      <c r="G341" s="52"/>
      <c r="H341" s="54"/>
      <c r="I341" s="32"/>
      <c r="J341" s="1"/>
      <c r="K341" s="32"/>
    </row>
    <row r="342" spans="1:11" ht="15.75" customHeight="1">
      <c r="A342" s="32"/>
      <c r="E342" s="255"/>
      <c r="F342" s="51"/>
      <c r="G342" s="52"/>
      <c r="H342" s="54"/>
      <c r="I342" s="32"/>
      <c r="J342" s="1"/>
      <c r="K342" s="32"/>
    </row>
    <row r="343" spans="1:11" ht="15.75" customHeight="1">
      <c r="A343" s="32"/>
      <c r="E343" s="255"/>
      <c r="F343" s="51"/>
      <c r="G343" s="52"/>
      <c r="H343" s="54"/>
      <c r="I343" s="32"/>
      <c r="J343" s="1"/>
      <c r="K343" s="32"/>
    </row>
    <row r="344" spans="1:11" ht="15.75" customHeight="1">
      <c r="A344" s="32"/>
      <c r="E344" s="255"/>
      <c r="F344" s="51"/>
      <c r="G344" s="52"/>
      <c r="H344" s="54"/>
      <c r="I344" s="32"/>
      <c r="J344" s="1"/>
      <c r="K344" s="32"/>
    </row>
    <row r="345" spans="1:11" ht="15.75" customHeight="1">
      <c r="A345" s="32"/>
      <c r="E345" s="255"/>
      <c r="F345" s="51"/>
      <c r="G345" s="52"/>
      <c r="H345" s="54"/>
      <c r="I345" s="32"/>
      <c r="J345" s="1"/>
      <c r="K345" s="32"/>
    </row>
    <row r="346" spans="1:11" ht="15.75" customHeight="1">
      <c r="A346" s="32"/>
      <c r="E346" s="255"/>
      <c r="F346" s="51"/>
      <c r="G346" s="52"/>
      <c r="H346" s="54"/>
      <c r="I346" s="32"/>
      <c r="J346" s="1"/>
      <c r="K346" s="32"/>
    </row>
    <row r="347" spans="1:11" ht="15.75" customHeight="1">
      <c r="A347" s="32"/>
      <c r="E347" s="255"/>
      <c r="F347" s="51"/>
      <c r="G347" s="52"/>
      <c r="H347" s="54"/>
      <c r="I347" s="32"/>
      <c r="J347" s="1"/>
      <c r="K347" s="32"/>
    </row>
    <row r="348" spans="1:11" ht="15.75" customHeight="1">
      <c r="A348" s="32"/>
      <c r="E348" s="255"/>
      <c r="F348" s="51"/>
      <c r="G348" s="52"/>
      <c r="H348" s="54"/>
      <c r="I348" s="32"/>
      <c r="J348" s="1"/>
      <c r="K348" s="32"/>
    </row>
    <row r="349" spans="1:11" ht="15.75" customHeight="1">
      <c r="A349" s="32"/>
      <c r="E349" s="255"/>
      <c r="F349" s="51"/>
      <c r="G349" s="52"/>
      <c r="H349" s="54"/>
      <c r="I349" s="32"/>
      <c r="J349" s="1"/>
      <c r="K349" s="32"/>
    </row>
    <row r="350" spans="1:11" ht="15.75" customHeight="1">
      <c r="A350" s="32"/>
      <c r="E350" s="255"/>
      <c r="F350" s="51"/>
      <c r="G350" s="52"/>
      <c r="H350" s="54"/>
      <c r="I350" s="32"/>
      <c r="J350" s="1"/>
      <c r="K350" s="32"/>
    </row>
    <row r="351" spans="1:11" ht="15.75" customHeight="1">
      <c r="A351" s="32"/>
      <c r="E351" s="255"/>
      <c r="F351" s="51"/>
      <c r="G351" s="52"/>
      <c r="H351" s="54"/>
      <c r="I351" s="32"/>
      <c r="J351" s="1"/>
      <c r="K351" s="32"/>
    </row>
    <row r="352" spans="1:11" ht="15.75" customHeight="1">
      <c r="A352" s="32"/>
      <c r="E352" s="255"/>
      <c r="F352" s="51"/>
      <c r="G352" s="52"/>
      <c r="H352" s="54"/>
      <c r="I352" s="32"/>
      <c r="J352" s="1"/>
      <c r="K352" s="32"/>
    </row>
    <row r="353" spans="1:11" ht="15.75" customHeight="1">
      <c r="A353" s="32"/>
      <c r="E353" s="255"/>
      <c r="F353" s="51"/>
      <c r="G353" s="52"/>
      <c r="H353" s="54"/>
      <c r="I353" s="32"/>
      <c r="J353" s="1"/>
      <c r="K353" s="32"/>
    </row>
    <row r="354" spans="1:11" ht="15.75" customHeight="1">
      <c r="A354" s="32"/>
      <c r="E354" s="255"/>
      <c r="F354" s="51"/>
      <c r="G354" s="52"/>
      <c r="H354" s="54"/>
      <c r="I354" s="32"/>
      <c r="J354" s="1"/>
      <c r="K354" s="32"/>
    </row>
    <row r="355" spans="1:11" ht="15.75" customHeight="1">
      <c r="A355" s="32"/>
      <c r="E355" s="255"/>
      <c r="F355" s="51"/>
      <c r="G355" s="52"/>
      <c r="H355" s="54"/>
      <c r="I355" s="32"/>
      <c r="J355" s="1"/>
      <c r="K355" s="32"/>
    </row>
    <row r="356" spans="1:11" ht="15.75" customHeight="1">
      <c r="A356" s="32"/>
      <c r="E356" s="255"/>
      <c r="F356" s="51"/>
      <c r="G356" s="52"/>
      <c r="H356" s="54"/>
      <c r="I356" s="32"/>
      <c r="J356" s="1"/>
      <c r="K356" s="32"/>
    </row>
    <row r="357" spans="1:11" ht="15.75" customHeight="1">
      <c r="A357" s="32"/>
      <c r="E357" s="255"/>
      <c r="F357" s="51"/>
      <c r="G357" s="52"/>
      <c r="H357" s="54"/>
      <c r="I357" s="32"/>
      <c r="J357" s="1"/>
      <c r="K357" s="32"/>
    </row>
    <row r="358" spans="1:11" ht="15.75" customHeight="1">
      <c r="A358" s="32"/>
      <c r="E358" s="255"/>
      <c r="F358" s="51"/>
      <c r="G358" s="52"/>
      <c r="H358" s="54"/>
      <c r="I358" s="32"/>
      <c r="J358" s="1"/>
      <c r="K358" s="32"/>
    </row>
    <row r="359" spans="1:11" ht="15.75" customHeight="1">
      <c r="A359" s="32"/>
      <c r="E359" s="255"/>
      <c r="F359" s="51"/>
      <c r="G359" s="52"/>
      <c r="H359" s="54"/>
      <c r="I359" s="32"/>
      <c r="J359" s="1"/>
      <c r="K359" s="32"/>
    </row>
    <row r="360" spans="1:11" ht="15.75" customHeight="1">
      <c r="A360" s="32"/>
      <c r="E360" s="255"/>
      <c r="F360" s="51"/>
      <c r="G360" s="52"/>
      <c r="H360" s="54"/>
      <c r="I360" s="32"/>
      <c r="J360" s="1"/>
      <c r="K360" s="32"/>
    </row>
    <row r="361" spans="1:11" ht="15.75" customHeight="1">
      <c r="A361" s="32"/>
      <c r="E361" s="255"/>
      <c r="F361" s="51"/>
      <c r="G361" s="52"/>
      <c r="H361" s="54"/>
      <c r="I361" s="32"/>
      <c r="J361" s="1"/>
      <c r="K361" s="32"/>
    </row>
    <row r="362" spans="1:11" ht="15.75" customHeight="1">
      <c r="A362" s="32"/>
      <c r="E362" s="255"/>
      <c r="F362" s="51"/>
      <c r="G362" s="52"/>
      <c r="H362" s="54"/>
      <c r="I362" s="32"/>
      <c r="J362" s="1"/>
      <c r="K362" s="32"/>
    </row>
    <row r="363" spans="1:11" ht="15.75" customHeight="1">
      <c r="A363" s="32"/>
      <c r="E363" s="255"/>
      <c r="F363" s="51"/>
      <c r="G363" s="52"/>
      <c r="H363" s="54"/>
      <c r="I363" s="32"/>
      <c r="J363" s="1"/>
      <c r="K363" s="32"/>
    </row>
    <row r="364" spans="1:11" ht="15.75" customHeight="1">
      <c r="A364" s="32"/>
      <c r="E364" s="255"/>
      <c r="F364" s="51"/>
      <c r="G364" s="52"/>
      <c r="H364" s="54"/>
      <c r="I364" s="32"/>
      <c r="J364" s="1"/>
      <c r="K364" s="32"/>
    </row>
    <row r="365" spans="1:11" ht="15.75" customHeight="1">
      <c r="A365" s="32"/>
      <c r="E365" s="255"/>
      <c r="F365" s="51"/>
      <c r="G365" s="52"/>
      <c r="H365" s="54"/>
      <c r="I365" s="32"/>
      <c r="J365" s="1"/>
      <c r="K365" s="32"/>
    </row>
    <row r="366" spans="1:11" ht="15.75" customHeight="1">
      <c r="A366" s="32"/>
      <c r="E366" s="255"/>
      <c r="F366" s="51"/>
      <c r="G366" s="52"/>
      <c r="H366" s="54"/>
      <c r="I366" s="32"/>
      <c r="J366" s="1"/>
      <c r="K366" s="32"/>
    </row>
    <row r="367" spans="1:11" ht="15.75" customHeight="1">
      <c r="A367" s="32"/>
      <c r="E367" s="255"/>
      <c r="F367" s="51"/>
      <c r="G367" s="52"/>
      <c r="H367" s="54"/>
      <c r="I367" s="32"/>
      <c r="J367" s="1"/>
      <c r="K367" s="32"/>
    </row>
    <row r="368" spans="1:11" ht="15.75" customHeight="1">
      <c r="A368" s="32"/>
      <c r="E368" s="255"/>
      <c r="F368" s="51"/>
      <c r="G368" s="52"/>
      <c r="H368" s="54"/>
      <c r="I368" s="32"/>
      <c r="J368" s="1"/>
      <c r="K368" s="32"/>
    </row>
    <row r="369" spans="1:11" ht="15.75" customHeight="1">
      <c r="A369" s="32"/>
      <c r="E369" s="255"/>
      <c r="F369" s="51"/>
      <c r="G369" s="52"/>
      <c r="H369" s="54"/>
      <c r="I369" s="32"/>
      <c r="J369" s="1"/>
      <c r="K369" s="32"/>
    </row>
    <row r="370" spans="1:11" ht="15.75" customHeight="1">
      <c r="A370" s="32"/>
      <c r="E370" s="255"/>
      <c r="F370" s="51"/>
      <c r="G370" s="52"/>
      <c r="H370" s="54"/>
      <c r="I370" s="32"/>
      <c r="J370" s="1"/>
      <c r="K370" s="32"/>
    </row>
    <row r="371" spans="1:11" ht="15.75" customHeight="1">
      <c r="A371" s="32"/>
      <c r="E371" s="255"/>
      <c r="F371" s="51"/>
      <c r="G371" s="52"/>
      <c r="H371" s="54"/>
      <c r="I371" s="32"/>
      <c r="J371" s="1"/>
      <c r="K371" s="32"/>
    </row>
    <row r="372" spans="1:11" ht="15.75" customHeight="1">
      <c r="A372" s="32"/>
      <c r="E372" s="255"/>
      <c r="F372" s="51"/>
      <c r="G372" s="52"/>
      <c r="H372" s="54"/>
      <c r="I372" s="32"/>
      <c r="J372" s="1"/>
      <c r="K372" s="32"/>
    </row>
    <row r="373" spans="1:11" ht="15.75" customHeight="1">
      <c r="A373" s="32"/>
      <c r="E373" s="255"/>
      <c r="F373" s="51"/>
      <c r="G373" s="52"/>
      <c r="H373" s="54"/>
      <c r="I373" s="32"/>
      <c r="J373" s="1"/>
      <c r="K373" s="32"/>
    </row>
    <row r="374" spans="1:11" ht="15.75" customHeight="1">
      <c r="A374" s="32"/>
      <c r="E374" s="255"/>
      <c r="F374" s="51"/>
      <c r="G374" s="52"/>
      <c r="H374" s="54"/>
      <c r="I374" s="32"/>
      <c r="J374" s="1"/>
      <c r="K374" s="32"/>
    </row>
    <row r="375" spans="1:11" ht="15.75" customHeight="1">
      <c r="A375" s="32"/>
      <c r="E375" s="255"/>
      <c r="F375" s="51"/>
      <c r="G375" s="52"/>
      <c r="H375" s="54"/>
      <c r="I375" s="32"/>
      <c r="J375" s="1"/>
      <c r="K375" s="32"/>
    </row>
    <row r="376" spans="1:11" ht="15.75" customHeight="1">
      <c r="A376" s="32"/>
      <c r="E376" s="255"/>
      <c r="F376" s="51"/>
      <c r="G376" s="52"/>
      <c r="H376" s="54"/>
      <c r="I376" s="32"/>
      <c r="J376" s="1"/>
      <c r="K376" s="32"/>
    </row>
    <row r="377" spans="1:11" ht="15.75" customHeight="1">
      <c r="A377" s="32"/>
      <c r="E377" s="255"/>
      <c r="F377" s="51"/>
      <c r="G377" s="52"/>
      <c r="H377" s="54"/>
      <c r="I377" s="32"/>
      <c r="J377" s="1"/>
      <c r="K377" s="32"/>
    </row>
    <row r="378" spans="1:11" ht="15.75" customHeight="1">
      <c r="A378" s="32"/>
      <c r="E378" s="255"/>
      <c r="F378" s="51"/>
      <c r="G378" s="52"/>
      <c r="H378" s="54"/>
      <c r="I378" s="32"/>
      <c r="J378" s="1"/>
      <c r="K378" s="32"/>
    </row>
    <row r="379" spans="1:11" ht="15.75" customHeight="1">
      <c r="A379" s="32"/>
      <c r="E379" s="255"/>
      <c r="F379" s="51"/>
      <c r="G379" s="52"/>
      <c r="H379" s="54"/>
      <c r="I379" s="32"/>
      <c r="J379" s="1"/>
      <c r="K379" s="32"/>
    </row>
    <row r="380" spans="1:11" ht="15.75" customHeight="1">
      <c r="A380" s="32"/>
      <c r="E380" s="255"/>
      <c r="F380" s="51"/>
      <c r="G380" s="52"/>
      <c r="H380" s="54"/>
      <c r="I380" s="32"/>
      <c r="J380" s="1"/>
      <c r="K380" s="32"/>
    </row>
    <row r="381" spans="1:11" ht="15.75" customHeight="1">
      <c r="A381" s="32"/>
      <c r="E381" s="255"/>
      <c r="F381" s="51"/>
      <c r="G381" s="52"/>
      <c r="H381" s="54"/>
      <c r="I381" s="32"/>
      <c r="J381" s="1"/>
      <c r="K381" s="32"/>
    </row>
    <row r="382" spans="1:11" ht="15.75" customHeight="1">
      <c r="A382" s="32"/>
      <c r="E382" s="255"/>
      <c r="F382" s="51"/>
      <c r="G382" s="52"/>
      <c r="H382" s="54"/>
      <c r="I382" s="32"/>
      <c r="J382" s="1"/>
      <c r="K382" s="32"/>
    </row>
    <row r="383" spans="1:11" ht="15.75" customHeight="1">
      <c r="A383" s="32"/>
      <c r="E383" s="255"/>
      <c r="F383" s="51"/>
      <c r="G383" s="52"/>
      <c r="H383" s="54"/>
      <c r="I383" s="32"/>
      <c r="J383" s="1"/>
      <c r="K383" s="32"/>
    </row>
    <row r="384" spans="1:11" ht="15.75" customHeight="1">
      <c r="A384" s="32"/>
      <c r="E384" s="255"/>
      <c r="F384" s="51"/>
      <c r="G384" s="52"/>
      <c r="H384" s="54"/>
      <c r="I384" s="32"/>
      <c r="J384" s="1"/>
      <c r="K384" s="32"/>
    </row>
    <row r="385" spans="1:11" ht="15.75" customHeight="1">
      <c r="A385" s="32"/>
      <c r="E385" s="255"/>
      <c r="F385" s="51"/>
      <c r="G385" s="52"/>
      <c r="H385" s="54"/>
      <c r="I385" s="32"/>
      <c r="J385" s="1"/>
      <c r="K385" s="32"/>
    </row>
    <row r="386" spans="1:11" ht="15.75" customHeight="1">
      <c r="A386" s="32"/>
      <c r="E386" s="255"/>
      <c r="F386" s="51"/>
      <c r="G386" s="52"/>
      <c r="H386" s="54"/>
      <c r="I386" s="32"/>
      <c r="J386" s="1"/>
      <c r="K386" s="32"/>
    </row>
    <row r="387" spans="1:11" ht="15.75" customHeight="1">
      <c r="A387" s="32"/>
      <c r="E387" s="255"/>
      <c r="F387" s="51"/>
      <c r="G387" s="52"/>
      <c r="H387" s="54"/>
      <c r="I387" s="32"/>
      <c r="J387" s="1"/>
      <c r="K387" s="32"/>
    </row>
    <row r="388" spans="1:11" ht="15.75" customHeight="1">
      <c r="A388" s="32"/>
      <c r="E388" s="255"/>
      <c r="F388" s="51"/>
      <c r="G388" s="52"/>
      <c r="H388" s="54"/>
      <c r="I388" s="32"/>
      <c r="J388" s="1"/>
      <c r="K388" s="32"/>
    </row>
    <row r="389" spans="1:11" ht="15.75" customHeight="1">
      <c r="A389" s="32"/>
      <c r="E389" s="255"/>
      <c r="F389" s="51"/>
      <c r="G389" s="52"/>
      <c r="H389" s="54"/>
      <c r="I389" s="32"/>
      <c r="J389" s="1"/>
      <c r="K389" s="32"/>
    </row>
    <row r="390" spans="1:11" ht="15.75" customHeight="1">
      <c r="A390" s="32"/>
      <c r="E390" s="255"/>
      <c r="F390" s="51"/>
      <c r="G390" s="52"/>
      <c r="H390" s="54"/>
      <c r="I390" s="32"/>
      <c r="J390" s="1"/>
      <c r="K390" s="32"/>
    </row>
    <row r="391" spans="1:11" ht="15.75" customHeight="1">
      <c r="A391" s="32"/>
      <c r="E391" s="255"/>
      <c r="F391" s="51"/>
      <c r="G391" s="52"/>
      <c r="H391" s="54"/>
      <c r="I391" s="32"/>
      <c r="J391" s="1"/>
      <c r="K391" s="32"/>
    </row>
    <row r="392" spans="1:11" ht="15.75" customHeight="1">
      <c r="A392" s="32"/>
      <c r="E392" s="255"/>
      <c r="F392" s="51"/>
      <c r="G392" s="52"/>
      <c r="H392" s="54"/>
      <c r="I392" s="32"/>
      <c r="J392" s="1"/>
      <c r="K392" s="32"/>
    </row>
    <row r="393" spans="1:11" ht="15.75" customHeight="1">
      <c r="A393" s="32"/>
      <c r="E393" s="255"/>
      <c r="F393" s="51"/>
      <c r="G393" s="52"/>
      <c r="H393" s="54"/>
      <c r="I393" s="32"/>
      <c r="J393" s="1"/>
      <c r="K393" s="32"/>
    </row>
    <row r="394" spans="1:11" ht="15.75" customHeight="1">
      <c r="A394" s="32"/>
      <c r="E394" s="255"/>
      <c r="F394" s="51"/>
      <c r="G394" s="52"/>
      <c r="H394" s="54"/>
      <c r="I394" s="32"/>
      <c r="J394" s="1"/>
      <c r="K394" s="32"/>
    </row>
    <row r="395" spans="1:11" ht="15.75" customHeight="1">
      <c r="A395" s="32"/>
      <c r="E395" s="255"/>
      <c r="F395" s="51"/>
      <c r="G395" s="52"/>
      <c r="H395" s="54"/>
      <c r="I395" s="32"/>
      <c r="J395" s="1"/>
      <c r="K395" s="32"/>
    </row>
    <row r="396" spans="1:11" ht="15.75" customHeight="1">
      <c r="A396" s="32"/>
      <c r="E396" s="255"/>
      <c r="F396" s="51"/>
      <c r="G396" s="52"/>
      <c r="H396" s="54"/>
      <c r="I396" s="32"/>
      <c r="J396" s="1"/>
      <c r="K396" s="32"/>
    </row>
    <row r="397" spans="1:11" ht="15.75" customHeight="1">
      <c r="A397" s="32"/>
      <c r="E397" s="255"/>
      <c r="F397" s="51"/>
      <c r="G397" s="52"/>
      <c r="H397" s="54"/>
      <c r="I397" s="32"/>
      <c r="J397" s="1"/>
      <c r="K397" s="32"/>
    </row>
    <row r="398" spans="1:11" ht="15.75" customHeight="1">
      <c r="A398" s="32"/>
      <c r="E398" s="255"/>
      <c r="F398" s="51"/>
      <c r="G398" s="52"/>
      <c r="H398" s="54"/>
      <c r="I398" s="32"/>
      <c r="J398" s="1"/>
      <c r="K398" s="32"/>
    </row>
    <row r="399" spans="1:11" ht="15.75" customHeight="1">
      <c r="A399" s="32"/>
      <c r="E399" s="255"/>
      <c r="F399" s="51"/>
      <c r="G399" s="52"/>
      <c r="H399" s="54"/>
      <c r="I399" s="32"/>
      <c r="J399" s="1"/>
      <c r="K399" s="32"/>
    </row>
    <row r="400" spans="1:11" ht="15.75" customHeight="1">
      <c r="A400" s="32"/>
      <c r="E400" s="255"/>
      <c r="F400" s="51"/>
      <c r="G400" s="52"/>
      <c r="H400" s="54"/>
      <c r="I400" s="32"/>
      <c r="J400" s="1"/>
      <c r="K400" s="32"/>
    </row>
    <row r="401" spans="1:11" ht="15.75" customHeight="1">
      <c r="A401" s="32"/>
      <c r="E401" s="255"/>
      <c r="F401" s="51"/>
      <c r="G401" s="52"/>
      <c r="H401" s="54"/>
      <c r="I401" s="32"/>
      <c r="J401" s="1"/>
      <c r="K401" s="32"/>
    </row>
    <row r="402" spans="1:11" ht="15.75" customHeight="1">
      <c r="A402" s="32"/>
      <c r="E402" s="255"/>
      <c r="F402" s="51"/>
      <c r="G402" s="52"/>
      <c r="H402" s="54"/>
      <c r="I402" s="32"/>
      <c r="J402" s="1"/>
      <c r="K402" s="32"/>
    </row>
    <row r="403" spans="1:11" ht="15.75" customHeight="1">
      <c r="A403" s="32"/>
      <c r="E403" s="255"/>
      <c r="F403" s="51"/>
      <c r="G403" s="52"/>
      <c r="H403" s="54"/>
      <c r="I403" s="32"/>
      <c r="J403" s="1"/>
      <c r="K403" s="32"/>
    </row>
    <row r="404" spans="1:11" ht="15.75" customHeight="1">
      <c r="A404" s="32"/>
      <c r="E404" s="255"/>
      <c r="F404" s="51"/>
      <c r="G404" s="52"/>
      <c r="H404" s="54"/>
      <c r="I404" s="32"/>
      <c r="J404" s="1"/>
      <c r="K404" s="32"/>
    </row>
    <row r="405" spans="1:11" ht="15.75" customHeight="1">
      <c r="A405" s="32"/>
      <c r="E405" s="255"/>
      <c r="F405" s="51"/>
      <c r="G405" s="52"/>
      <c r="H405" s="54"/>
      <c r="I405" s="32"/>
      <c r="J405" s="1"/>
      <c r="K405" s="32"/>
    </row>
    <row r="406" spans="1:11" ht="15.75" customHeight="1">
      <c r="A406" s="32"/>
      <c r="E406" s="255"/>
      <c r="F406" s="51"/>
      <c r="G406" s="52"/>
      <c r="H406" s="54"/>
      <c r="I406" s="32"/>
      <c r="J406" s="1"/>
      <c r="K406" s="32"/>
    </row>
    <row r="407" spans="1:11" ht="15.75" customHeight="1">
      <c r="A407" s="32"/>
      <c r="E407" s="255"/>
      <c r="F407" s="51"/>
      <c r="G407" s="52"/>
      <c r="H407" s="54"/>
      <c r="I407" s="32"/>
      <c r="J407" s="1"/>
      <c r="K407" s="32"/>
    </row>
    <row r="408" spans="1:11" ht="15.75" customHeight="1">
      <c r="A408" s="32"/>
      <c r="E408" s="255"/>
      <c r="F408" s="51"/>
      <c r="G408" s="52"/>
      <c r="H408" s="54"/>
      <c r="I408" s="32"/>
      <c r="J408" s="1"/>
      <c r="K408" s="32"/>
    </row>
    <row r="409" spans="1:11" ht="15.75" customHeight="1">
      <c r="A409" s="32"/>
      <c r="E409" s="255"/>
      <c r="F409" s="51"/>
      <c r="G409" s="52"/>
      <c r="H409" s="54"/>
      <c r="I409" s="32"/>
      <c r="J409" s="1"/>
      <c r="K409" s="32"/>
    </row>
    <row r="410" spans="1:11" ht="15.75" customHeight="1">
      <c r="A410" s="32"/>
      <c r="E410" s="255"/>
      <c r="F410" s="51"/>
      <c r="G410" s="52"/>
      <c r="H410" s="54"/>
      <c r="I410" s="32"/>
      <c r="J410" s="1"/>
      <c r="K410" s="32"/>
    </row>
    <row r="411" spans="1:11" ht="15.75" customHeight="1">
      <c r="A411" s="32"/>
      <c r="E411" s="255"/>
      <c r="F411" s="51"/>
      <c r="G411" s="52"/>
      <c r="H411" s="54"/>
      <c r="I411" s="32"/>
      <c r="J411" s="1"/>
      <c r="K411" s="32"/>
    </row>
    <row r="412" spans="1:11" ht="15.75" customHeight="1">
      <c r="A412" s="32"/>
      <c r="E412" s="255"/>
      <c r="F412" s="51"/>
      <c r="G412" s="52"/>
      <c r="H412" s="54"/>
      <c r="I412" s="32"/>
      <c r="J412" s="1"/>
      <c r="K412" s="32"/>
    </row>
    <row r="413" spans="1:11" ht="15.75" customHeight="1">
      <c r="A413" s="32"/>
      <c r="E413" s="255"/>
      <c r="F413" s="51"/>
      <c r="G413" s="52"/>
      <c r="H413" s="54"/>
      <c r="I413" s="32"/>
      <c r="J413" s="1"/>
      <c r="K413" s="32"/>
    </row>
    <row r="414" spans="1:11" ht="15.75" customHeight="1">
      <c r="A414" s="32"/>
      <c r="E414" s="255"/>
      <c r="F414" s="51"/>
      <c r="G414" s="52"/>
      <c r="H414" s="54"/>
      <c r="I414" s="32"/>
      <c r="J414" s="1"/>
      <c r="K414" s="32"/>
    </row>
    <row r="415" spans="1:11" ht="15.75" customHeight="1">
      <c r="A415" s="32"/>
      <c r="E415" s="255"/>
      <c r="F415" s="51"/>
      <c r="G415" s="52"/>
      <c r="H415" s="54"/>
      <c r="I415" s="32"/>
      <c r="J415" s="1"/>
      <c r="K415" s="32"/>
    </row>
    <row r="416" spans="1:11" ht="15.75" customHeight="1">
      <c r="A416" s="32"/>
      <c r="E416" s="255"/>
      <c r="F416" s="51"/>
      <c r="G416" s="52"/>
      <c r="H416" s="54"/>
      <c r="I416" s="32"/>
      <c r="J416" s="1"/>
      <c r="K416" s="32"/>
    </row>
    <row r="417" spans="1:11" ht="15.75" customHeight="1">
      <c r="A417" s="32"/>
      <c r="E417" s="255"/>
      <c r="F417" s="51"/>
      <c r="G417" s="52"/>
      <c r="H417" s="54"/>
      <c r="I417" s="32"/>
      <c r="J417" s="1"/>
      <c r="K417" s="32"/>
    </row>
    <row r="418" spans="1:11" ht="15.75" customHeight="1">
      <c r="A418" s="32"/>
      <c r="E418" s="255"/>
      <c r="F418" s="51"/>
      <c r="G418" s="52"/>
      <c r="H418" s="54"/>
      <c r="I418" s="32"/>
      <c r="J418" s="1"/>
      <c r="K418" s="32"/>
    </row>
    <row r="419" spans="1:11" ht="15.75" customHeight="1">
      <c r="A419" s="32"/>
      <c r="E419" s="255"/>
      <c r="F419" s="51"/>
      <c r="G419" s="52"/>
      <c r="H419" s="54"/>
      <c r="I419" s="32"/>
      <c r="J419" s="1"/>
      <c r="K419" s="32"/>
    </row>
    <row r="420" spans="1:11" ht="15.75" customHeight="1">
      <c r="A420" s="32"/>
      <c r="E420" s="255"/>
      <c r="F420" s="51"/>
      <c r="G420" s="52"/>
      <c r="H420" s="54"/>
      <c r="I420" s="32"/>
      <c r="J420" s="1"/>
      <c r="K420" s="32"/>
    </row>
    <row r="421" spans="1:11" ht="15.75" customHeight="1">
      <c r="A421" s="32"/>
      <c r="E421" s="255"/>
      <c r="F421" s="51"/>
      <c r="G421" s="52"/>
      <c r="H421" s="54"/>
      <c r="I421" s="32"/>
      <c r="J421" s="1"/>
      <c r="K421" s="32"/>
    </row>
    <row r="422" spans="1:11" ht="15.75" customHeight="1">
      <c r="A422" s="32"/>
      <c r="E422" s="255"/>
      <c r="F422" s="51"/>
      <c r="G422" s="52"/>
      <c r="H422" s="54"/>
      <c r="I422" s="32"/>
      <c r="J422" s="1"/>
      <c r="K422" s="32"/>
    </row>
    <row r="423" spans="1:11" ht="15.75" customHeight="1">
      <c r="A423" s="32"/>
      <c r="E423" s="255"/>
      <c r="F423" s="51"/>
      <c r="G423" s="52"/>
      <c r="H423" s="54"/>
      <c r="I423" s="32"/>
      <c r="J423" s="1"/>
      <c r="K423" s="32"/>
    </row>
    <row r="424" spans="1:11" ht="15.75" customHeight="1">
      <c r="A424" s="32"/>
      <c r="E424" s="255"/>
      <c r="F424" s="51"/>
      <c r="G424" s="52"/>
      <c r="H424" s="54"/>
      <c r="I424" s="32"/>
      <c r="J424" s="1"/>
      <c r="K424" s="32"/>
    </row>
    <row r="425" spans="1:11" ht="15.75" customHeight="1">
      <c r="A425" s="32"/>
      <c r="E425" s="255"/>
      <c r="F425" s="51"/>
      <c r="G425" s="52"/>
      <c r="H425" s="54"/>
      <c r="I425" s="32"/>
      <c r="J425" s="1"/>
      <c r="K425" s="32"/>
    </row>
    <row r="426" spans="1:11" ht="15.75" customHeight="1">
      <c r="A426" s="32"/>
      <c r="E426" s="255"/>
      <c r="F426" s="51"/>
      <c r="G426" s="52"/>
      <c r="H426" s="54"/>
      <c r="I426" s="32"/>
      <c r="J426" s="1"/>
      <c r="K426" s="32"/>
    </row>
    <row r="427" spans="1:11" ht="15.75" customHeight="1">
      <c r="A427" s="32"/>
      <c r="E427" s="255"/>
      <c r="F427" s="51"/>
      <c r="G427" s="52"/>
      <c r="H427" s="54"/>
      <c r="I427" s="32"/>
      <c r="J427" s="1"/>
      <c r="K427" s="32"/>
    </row>
    <row r="428" spans="1:11" ht="15.75" customHeight="1">
      <c r="A428" s="32"/>
      <c r="E428" s="255"/>
      <c r="F428" s="51"/>
      <c r="G428" s="52"/>
      <c r="H428" s="54"/>
      <c r="I428" s="32"/>
      <c r="J428" s="1"/>
      <c r="K428" s="32"/>
    </row>
    <row r="429" spans="1:11" ht="15.75" customHeight="1">
      <c r="A429" s="32"/>
      <c r="E429" s="255"/>
      <c r="F429" s="51"/>
      <c r="G429" s="52"/>
      <c r="H429" s="54"/>
      <c r="I429" s="32"/>
      <c r="J429" s="1"/>
      <c r="K429" s="32"/>
    </row>
    <row r="430" spans="1:11" ht="15.75" customHeight="1">
      <c r="A430" s="32"/>
      <c r="E430" s="255"/>
      <c r="F430" s="51"/>
      <c r="G430" s="52"/>
      <c r="H430" s="54"/>
      <c r="I430" s="32"/>
      <c r="J430" s="1"/>
      <c r="K430" s="32"/>
    </row>
    <row r="431" spans="1:11" ht="15.75" customHeight="1">
      <c r="A431" s="32"/>
      <c r="E431" s="255"/>
      <c r="F431" s="51"/>
      <c r="G431" s="52"/>
      <c r="H431" s="54"/>
      <c r="I431" s="32"/>
      <c r="J431" s="1"/>
      <c r="K431" s="32"/>
    </row>
    <row r="432" spans="1:11" ht="15.75" customHeight="1">
      <c r="A432" s="32"/>
      <c r="E432" s="255"/>
      <c r="F432" s="51"/>
      <c r="G432" s="52"/>
      <c r="H432" s="54"/>
      <c r="I432" s="32"/>
      <c r="J432" s="1"/>
      <c r="K432" s="32"/>
    </row>
    <row r="433" spans="1:11" ht="15.75" customHeight="1">
      <c r="A433" s="32"/>
      <c r="E433" s="255"/>
      <c r="F433" s="51"/>
      <c r="G433" s="52"/>
      <c r="H433" s="54"/>
      <c r="I433" s="32"/>
      <c r="J433" s="1"/>
      <c r="K433" s="32"/>
    </row>
    <row r="434" spans="1:11" ht="15.75" customHeight="1">
      <c r="A434" s="32"/>
      <c r="E434" s="255"/>
      <c r="F434" s="51"/>
      <c r="G434" s="52"/>
      <c r="H434" s="54"/>
      <c r="I434" s="32"/>
      <c r="J434" s="1"/>
      <c r="K434" s="32"/>
    </row>
    <row r="435" spans="1:11" ht="15.75" customHeight="1">
      <c r="A435" s="32"/>
      <c r="E435" s="255"/>
      <c r="F435" s="51"/>
      <c r="G435" s="52"/>
      <c r="H435" s="54"/>
      <c r="I435" s="32"/>
      <c r="J435" s="1"/>
      <c r="K435" s="32"/>
    </row>
    <row r="436" spans="1:11" ht="15.75" customHeight="1">
      <c r="A436" s="32"/>
      <c r="E436" s="255"/>
      <c r="F436" s="51"/>
      <c r="G436" s="52"/>
      <c r="H436" s="54"/>
      <c r="I436" s="32"/>
      <c r="J436" s="1"/>
      <c r="K436" s="32"/>
    </row>
    <row r="437" spans="1:11" ht="15.75" customHeight="1">
      <c r="A437" s="32"/>
      <c r="E437" s="255"/>
      <c r="F437" s="51"/>
      <c r="G437" s="52"/>
      <c r="H437" s="54"/>
      <c r="I437" s="32"/>
      <c r="J437" s="1"/>
      <c r="K437" s="32"/>
    </row>
    <row r="438" spans="1:11" ht="15.75" customHeight="1">
      <c r="A438" s="32"/>
      <c r="E438" s="1"/>
    </row>
    <row r="439" spans="1:11" ht="15.75" customHeight="1">
      <c r="A439" s="32"/>
      <c r="E439" s="1"/>
    </row>
    <row r="440" spans="1:11" ht="15.75" customHeight="1">
      <c r="A440" s="32"/>
      <c r="E440" s="1"/>
    </row>
    <row r="441" spans="1:11" ht="15.75" customHeight="1">
      <c r="A441" s="32"/>
      <c r="E441" s="1"/>
    </row>
    <row r="442" spans="1:11" ht="15.75" customHeight="1">
      <c r="A442" s="32"/>
      <c r="E442" s="1"/>
    </row>
    <row r="443" spans="1:11" ht="15.75" customHeight="1">
      <c r="A443" s="32"/>
      <c r="E443" s="1"/>
    </row>
    <row r="444" spans="1:11" ht="15.75" customHeight="1">
      <c r="A444" s="32"/>
      <c r="E444" s="1"/>
    </row>
    <row r="445" spans="1:11" ht="15.75" customHeight="1">
      <c r="A445" s="32"/>
      <c r="E445" s="1"/>
    </row>
    <row r="446" spans="1:11" ht="15.75" customHeight="1">
      <c r="A446" s="32"/>
      <c r="E446" s="1"/>
    </row>
    <row r="447" spans="1:11" ht="15.75" customHeight="1">
      <c r="A447" s="32"/>
      <c r="E447" s="1"/>
    </row>
    <row r="448" spans="1:11" ht="15.75" customHeight="1">
      <c r="A448" s="32"/>
      <c r="E448" s="1"/>
    </row>
    <row r="449" spans="1:5" ht="15.75" customHeight="1">
      <c r="A449" s="32"/>
      <c r="E449" s="1"/>
    </row>
    <row r="450" spans="1:5" ht="15.75" customHeight="1">
      <c r="A450" s="32"/>
      <c r="E450" s="1"/>
    </row>
    <row r="451" spans="1:5" ht="15.75" customHeight="1">
      <c r="A451" s="32"/>
      <c r="E451" s="1"/>
    </row>
    <row r="452" spans="1:5" ht="15.75" customHeight="1">
      <c r="A452" s="32"/>
      <c r="E452" s="1"/>
    </row>
    <row r="453" spans="1:5" ht="15.75" customHeight="1">
      <c r="A453" s="32"/>
      <c r="E453" s="1"/>
    </row>
    <row r="454" spans="1:5" ht="15.75" customHeight="1">
      <c r="A454" s="32"/>
      <c r="E454" s="1"/>
    </row>
    <row r="455" spans="1:5" ht="15.75" customHeight="1">
      <c r="A455" s="32"/>
      <c r="E455" s="1"/>
    </row>
    <row r="456" spans="1:5" ht="15.75" customHeight="1">
      <c r="A456" s="32"/>
      <c r="E456" s="1"/>
    </row>
    <row r="457" spans="1:5" ht="15.75" customHeight="1">
      <c r="A457" s="32"/>
      <c r="E457" s="1"/>
    </row>
    <row r="458" spans="1:5" ht="15.75" customHeight="1">
      <c r="A458" s="32"/>
      <c r="E458" s="1"/>
    </row>
    <row r="459" spans="1:5" ht="15.75" customHeight="1">
      <c r="A459" s="32"/>
      <c r="E459" s="1"/>
    </row>
    <row r="460" spans="1:5" ht="15.75" customHeight="1">
      <c r="A460" s="32"/>
      <c r="E460" s="1"/>
    </row>
    <row r="461" spans="1:5" ht="15.75" customHeight="1">
      <c r="A461" s="32"/>
      <c r="E461" s="1"/>
    </row>
    <row r="462" spans="1:5" ht="15.75" customHeight="1">
      <c r="A462" s="32"/>
      <c r="E462" s="1"/>
    </row>
    <row r="463" spans="1:5" ht="15.75" customHeight="1">
      <c r="A463" s="32"/>
      <c r="E463" s="1"/>
    </row>
    <row r="464" spans="1:5" ht="15.75" customHeight="1">
      <c r="A464" s="32"/>
      <c r="E464" s="1"/>
    </row>
    <row r="465" spans="1:5" ht="15.75" customHeight="1">
      <c r="A465" s="32"/>
      <c r="E465" s="1"/>
    </row>
    <row r="466" spans="1:5" ht="15.75" customHeight="1">
      <c r="A466" s="32"/>
      <c r="E466" s="1"/>
    </row>
    <row r="467" spans="1:5" ht="15.75" customHeight="1">
      <c r="A467" s="32"/>
      <c r="E467" s="1"/>
    </row>
    <row r="468" spans="1:5" ht="15.75" customHeight="1">
      <c r="A468" s="32"/>
      <c r="E468" s="1"/>
    </row>
    <row r="469" spans="1:5" ht="15.75" customHeight="1">
      <c r="A469" s="32"/>
      <c r="E469" s="1"/>
    </row>
    <row r="470" spans="1:5" ht="15.75" customHeight="1">
      <c r="A470" s="32"/>
      <c r="E470" s="1"/>
    </row>
    <row r="471" spans="1:5" ht="15.75" customHeight="1">
      <c r="A471" s="32"/>
      <c r="E471" s="1"/>
    </row>
    <row r="472" spans="1:5" ht="15.75" customHeight="1">
      <c r="A472" s="32"/>
      <c r="E472" s="1"/>
    </row>
    <row r="473" spans="1:5" ht="15.75" customHeight="1">
      <c r="A473" s="32"/>
      <c r="E473" s="1"/>
    </row>
    <row r="474" spans="1:5" ht="15.75" customHeight="1">
      <c r="A474" s="32"/>
      <c r="E474" s="1"/>
    </row>
    <row r="475" spans="1:5" ht="15.75" customHeight="1">
      <c r="A475" s="32"/>
      <c r="E475" s="1"/>
    </row>
    <row r="476" spans="1:5" ht="15.75" customHeight="1">
      <c r="A476" s="32"/>
      <c r="E476" s="1"/>
    </row>
    <row r="477" spans="1:5" ht="15.75" customHeight="1">
      <c r="A477" s="32"/>
      <c r="E477" s="1"/>
    </row>
    <row r="478" spans="1:5" ht="15.75" customHeight="1">
      <c r="A478" s="32"/>
      <c r="E478" s="1"/>
    </row>
    <row r="479" spans="1:5" ht="15.75" customHeight="1">
      <c r="A479" s="32"/>
      <c r="E479" s="1"/>
    </row>
    <row r="480" spans="1:5" ht="15.75" customHeight="1">
      <c r="A480" s="32"/>
      <c r="E480" s="1"/>
    </row>
    <row r="481" spans="1:5" ht="15.75" customHeight="1">
      <c r="A481" s="32"/>
      <c r="E481" s="1"/>
    </row>
    <row r="482" spans="1:5" ht="15.75" customHeight="1">
      <c r="A482" s="32"/>
      <c r="E482" s="1"/>
    </row>
    <row r="483" spans="1:5" ht="15.75" customHeight="1">
      <c r="A483" s="32"/>
      <c r="E483" s="1"/>
    </row>
    <row r="484" spans="1:5" ht="15.75" customHeight="1">
      <c r="A484" s="32"/>
      <c r="E484" s="1"/>
    </row>
    <row r="485" spans="1:5" ht="15.75" customHeight="1">
      <c r="A485" s="32"/>
      <c r="E485" s="1"/>
    </row>
    <row r="486" spans="1:5" ht="15.75" customHeight="1">
      <c r="A486" s="32"/>
      <c r="E486" s="1"/>
    </row>
    <row r="487" spans="1:5" ht="15.75" customHeight="1">
      <c r="A487" s="32"/>
      <c r="E487" s="1"/>
    </row>
    <row r="488" spans="1:5" ht="15.75" customHeight="1">
      <c r="A488" s="32"/>
      <c r="E488" s="1"/>
    </row>
    <row r="489" spans="1:5" ht="15.75" customHeight="1">
      <c r="A489" s="32"/>
      <c r="E489" s="1"/>
    </row>
    <row r="490" spans="1:5" ht="15.75" customHeight="1">
      <c r="A490" s="32"/>
      <c r="E490" s="1"/>
    </row>
    <row r="491" spans="1:5" ht="15.75" customHeight="1">
      <c r="A491" s="32"/>
      <c r="E491" s="1"/>
    </row>
    <row r="492" spans="1:5" ht="15.75" customHeight="1">
      <c r="A492" s="32"/>
      <c r="E492" s="1"/>
    </row>
    <row r="493" spans="1:5" ht="15.75" customHeight="1">
      <c r="A493" s="32"/>
      <c r="E493" s="1"/>
    </row>
    <row r="494" spans="1:5" ht="15.75" customHeight="1">
      <c r="A494" s="32"/>
      <c r="E494" s="1"/>
    </row>
    <row r="495" spans="1:5" ht="15.75" customHeight="1">
      <c r="A495" s="32"/>
      <c r="E495" s="1"/>
    </row>
    <row r="496" spans="1:5" ht="15.75" customHeight="1">
      <c r="A496" s="32"/>
      <c r="E496" s="1"/>
    </row>
    <row r="497" spans="1:5" ht="15.75" customHeight="1">
      <c r="A497" s="32"/>
      <c r="E497" s="1"/>
    </row>
    <row r="498" spans="1:5" ht="15.75" customHeight="1">
      <c r="A498" s="32"/>
      <c r="E498" s="1"/>
    </row>
    <row r="499" spans="1:5" ht="15.75" customHeight="1">
      <c r="A499" s="32"/>
      <c r="E499" s="1"/>
    </row>
    <row r="500" spans="1:5" ht="15.75" customHeight="1">
      <c r="A500" s="32"/>
      <c r="E500" s="1"/>
    </row>
    <row r="501" spans="1:5" ht="15.75" customHeight="1">
      <c r="A501" s="32"/>
      <c r="E501" s="1"/>
    </row>
    <row r="502" spans="1:5" ht="15.75" customHeight="1">
      <c r="A502" s="32"/>
      <c r="E502" s="1"/>
    </row>
    <row r="503" spans="1:5" ht="15.75" customHeight="1">
      <c r="A503" s="32"/>
      <c r="E503" s="1"/>
    </row>
    <row r="504" spans="1:5" ht="15.75" customHeight="1">
      <c r="A504" s="32"/>
      <c r="E504" s="1"/>
    </row>
    <row r="505" spans="1:5" ht="15.75" customHeight="1">
      <c r="A505" s="32"/>
      <c r="E505" s="1"/>
    </row>
    <row r="506" spans="1:5" ht="15.75" customHeight="1">
      <c r="A506" s="32"/>
      <c r="E506" s="1"/>
    </row>
    <row r="507" spans="1:5" ht="15.75" customHeight="1">
      <c r="A507" s="32"/>
      <c r="E507" s="1"/>
    </row>
    <row r="508" spans="1:5" ht="15.75" customHeight="1">
      <c r="A508" s="32"/>
      <c r="E508" s="1"/>
    </row>
    <row r="509" spans="1:5" ht="15.75" customHeight="1">
      <c r="A509" s="32"/>
      <c r="E509" s="1"/>
    </row>
    <row r="510" spans="1:5" ht="15.75" customHeight="1">
      <c r="A510" s="32"/>
      <c r="E510" s="1"/>
    </row>
    <row r="511" spans="1:5" ht="15.75" customHeight="1">
      <c r="A511" s="32"/>
      <c r="E511" s="1"/>
    </row>
    <row r="512" spans="1:5" ht="15.75" customHeight="1">
      <c r="A512" s="32"/>
      <c r="E512" s="1"/>
    </row>
    <row r="513" spans="1:5" ht="15.75" customHeight="1">
      <c r="A513" s="32"/>
      <c r="E513" s="1"/>
    </row>
    <row r="514" spans="1:5" ht="15.75" customHeight="1">
      <c r="A514" s="32"/>
      <c r="E514" s="1"/>
    </row>
    <row r="515" spans="1:5" ht="15.75" customHeight="1">
      <c r="A515" s="32"/>
      <c r="E515" s="1"/>
    </row>
    <row r="516" spans="1:5" ht="15.75" customHeight="1">
      <c r="A516" s="32"/>
      <c r="E516" s="1"/>
    </row>
    <row r="517" spans="1:5" ht="15.75" customHeight="1">
      <c r="A517" s="32"/>
      <c r="E517" s="1"/>
    </row>
    <row r="518" spans="1:5" ht="15.75" customHeight="1">
      <c r="A518" s="32"/>
      <c r="E518" s="1"/>
    </row>
    <row r="519" spans="1:5" ht="15.75" customHeight="1">
      <c r="A519" s="32"/>
      <c r="E519" s="1"/>
    </row>
    <row r="520" spans="1:5" ht="15.75" customHeight="1">
      <c r="A520" s="32"/>
      <c r="E520" s="1"/>
    </row>
    <row r="521" spans="1:5" ht="15.75" customHeight="1">
      <c r="A521" s="32"/>
      <c r="E521" s="1"/>
    </row>
    <row r="522" spans="1:5" ht="15.75" customHeight="1">
      <c r="A522" s="32"/>
      <c r="E522" s="1"/>
    </row>
    <row r="523" spans="1:5" ht="15.75" customHeight="1">
      <c r="A523" s="32"/>
      <c r="E523" s="1"/>
    </row>
    <row r="524" spans="1:5" ht="15.75" customHeight="1">
      <c r="A524" s="32"/>
      <c r="E524" s="1"/>
    </row>
    <row r="525" spans="1:5" ht="15.75" customHeight="1">
      <c r="A525" s="32"/>
      <c r="E525" s="1"/>
    </row>
    <row r="526" spans="1:5" ht="15.75" customHeight="1">
      <c r="A526" s="32"/>
      <c r="E526" s="1"/>
    </row>
    <row r="527" spans="1:5" ht="15.75" customHeight="1">
      <c r="A527" s="32"/>
      <c r="E527" s="1"/>
    </row>
    <row r="528" spans="1:5" ht="15.75" customHeight="1">
      <c r="A528" s="32"/>
      <c r="E528" s="1"/>
    </row>
    <row r="529" spans="1:5" ht="15.75" customHeight="1">
      <c r="A529" s="32"/>
      <c r="E529" s="1"/>
    </row>
    <row r="530" spans="1:5" ht="15.75" customHeight="1">
      <c r="A530" s="32"/>
      <c r="E530" s="1"/>
    </row>
    <row r="531" spans="1:5" ht="15.75" customHeight="1">
      <c r="A531" s="32"/>
      <c r="E531" s="1"/>
    </row>
    <row r="532" spans="1:5" ht="15.75" customHeight="1">
      <c r="A532" s="32"/>
      <c r="E532" s="1"/>
    </row>
    <row r="533" spans="1:5" ht="15.75" customHeight="1">
      <c r="A533" s="32"/>
      <c r="E533" s="1"/>
    </row>
    <row r="534" spans="1:5" ht="15.75" customHeight="1">
      <c r="A534" s="32"/>
      <c r="E534" s="1"/>
    </row>
    <row r="535" spans="1:5" ht="15.75" customHeight="1">
      <c r="A535" s="32"/>
      <c r="E535" s="1"/>
    </row>
    <row r="536" spans="1:5" ht="15.75" customHeight="1">
      <c r="A536" s="32"/>
      <c r="E536" s="1"/>
    </row>
    <row r="537" spans="1:5" ht="15.75" customHeight="1">
      <c r="A537" s="32"/>
      <c r="E537" s="1"/>
    </row>
    <row r="538" spans="1:5" ht="15.75" customHeight="1">
      <c r="A538" s="32"/>
      <c r="E538" s="1"/>
    </row>
    <row r="539" spans="1:5" ht="15.75" customHeight="1">
      <c r="A539" s="32"/>
      <c r="E539" s="1"/>
    </row>
    <row r="540" spans="1:5" ht="15.75" customHeight="1">
      <c r="A540" s="32"/>
      <c r="E540" s="1"/>
    </row>
    <row r="541" spans="1:5" ht="15.75" customHeight="1">
      <c r="A541" s="32"/>
      <c r="E541" s="1"/>
    </row>
    <row r="542" spans="1:5" ht="15.75" customHeight="1">
      <c r="A542" s="32"/>
      <c r="E542" s="1"/>
    </row>
    <row r="543" spans="1:5" ht="15.75" customHeight="1">
      <c r="A543" s="32"/>
      <c r="E543" s="1"/>
    </row>
    <row r="544" spans="1:5" ht="15.75" customHeight="1">
      <c r="A544" s="32"/>
      <c r="E544" s="1"/>
    </row>
    <row r="545" spans="1:5" ht="15.75" customHeight="1">
      <c r="A545" s="32"/>
      <c r="E545" s="1"/>
    </row>
    <row r="546" spans="1:5" ht="15.75" customHeight="1">
      <c r="A546" s="32"/>
      <c r="E546" s="1"/>
    </row>
    <row r="547" spans="1:5" ht="15.75" customHeight="1">
      <c r="A547" s="32"/>
      <c r="E547" s="1"/>
    </row>
    <row r="548" spans="1:5" ht="15.75" customHeight="1">
      <c r="A548" s="32"/>
      <c r="E548" s="1"/>
    </row>
    <row r="549" spans="1:5" ht="15.75" customHeight="1">
      <c r="A549" s="32"/>
      <c r="E549" s="1"/>
    </row>
    <row r="550" spans="1:5" ht="15.75" customHeight="1">
      <c r="A550" s="32"/>
      <c r="E550" s="1"/>
    </row>
    <row r="551" spans="1:5" ht="15.75" customHeight="1">
      <c r="A551" s="32"/>
      <c r="E551" s="1"/>
    </row>
    <row r="552" spans="1:5" ht="15.75" customHeight="1">
      <c r="A552" s="32"/>
      <c r="E552" s="1"/>
    </row>
    <row r="553" spans="1:5" ht="15.75" customHeight="1">
      <c r="A553" s="32"/>
      <c r="E553" s="1"/>
    </row>
    <row r="554" spans="1:5" ht="15.75" customHeight="1">
      <c r="A554" s="32"/>
      <c r="E554" s="1"/>
    </row>
    <row r="555" spans="1:5" ht="15.75" customHeight="1">
      <c r="A555" s="32"/>
      <c r="E555" s="1"/>
    </row>
    <row r="556" spans="1:5" ht="15.75" customHeight="1">
      <c r="A556" s="32"/>
      <c r="E556" s="1"/>
    </row>
    <row r="557" spans="1:5" ht="15.75" customHeight="1">
      <c r="A557" s="32"/>
      <c r="E557" s="1"/>
    </row>
    <row r="558" spans="1:5" ht="15.75" customHeight="1">
      <c r="A558" s="32"/>
      <c r="E558" s="1"/>
    </row>
    <row r="559" spans="1:5" ht="15.75" customHeight="1">
      <c r="A559" s="32"/>
      <c r="E559" s="1"/>
    </row>
    <row r="560" spans="1:5" ht="15.75" customHeight="1">
      <c r="A560" s="32"/>
      <c r="E560" s="1"/>
    </row>
    <row r="561" spans="1:5" ht="15.75" customHeight="1">
      <c r="A561" s="32"/>
      <c r="E561" s="1"/>
    </row>
    <row r="562" spans="1:5" ht="15.75" customHeight="1">
      <c r="A562" s="32"/>
      <c r="E562" s="1"/>
    </row>
    <row r="563" spans="1:5" ht="15.75" customHeight="1">
      <c r="A563" s="32"/>
      <c r="E563" s="1"/>
    </row>
    <row r="564" spans="1:5" ht="15.75" customHeight="1">
      <c r="A564" s="32"/>
      <c r="E564" s="1"/>
    </row>
    <row r="565" spans="1:5" ht="15.75" customHeight="1">
      <c r="A565" s="32"/>
      <c r="E565" s="1"/>
    </row>
    <row r="566" spans="1:5" ht="15.75" customHeight="1">
      <c r="A566" s="32"/>
      <c r="E566" s="1"/>
    </row>
    <row r="567" spans="1:5" ht="15.75" customHeight="1">
      <c r="A567" s="32"/>
      <c r="E567" s="1"/>
    </row>
    <row r="568" spans="1:5" ht="15.75" customHeight="1">
      <c r="A568" s="32"/>
      <c r="E568" s="1"/>
    </row>
    <row r="569" spans="1:5" ht="15.75" customHeight="1">
      <c r="A569" s="32"/>
      <c r="E569" s="1"/>
    </row>
    <row r="570" spans="1:5" ht="15.75" customHeight="1">
      <c r="A570" s="32"/>
      <c r="E570" s="1"/>
    </row>
    <row r="571" spans="1:5" ht="15.75" customHeight="1">
      <c r="A571" s="32"/>
      <c r="E571" s="1"/>
    </row>
    <row r="572" spans="1:5" ht="15.75" customHeight="1">
      <c r="A572" s="32"/>
      <c r="E572" s="1"/>
    </row>
    <row r="573" spans="1:5" ht="15.75" customHeight="1">
      <c r="A573" s="32"/>
      <c r="E573" s="1"/>
    </row>
    <row r="574" spans="1:5" ht="15.75" customHeight="1">
      <c r="A574" s="32"/>
      <c r="E574" s="1"/>
    </row>
    <row r="575" spans="1:5" ht="15.75" customHeight="1">
      <c r="A575" s="32"/>
      <c r="E575" s="1"/>
    </row>
    <row r="576" spans="1:5" ht="15.75" customHeight="1">
      <c r="A576" s="32"/>
      <c r="E576" s="1"/>
    </row>
    <row r="577" spans="1:5" ht="15.75" customHeight="1">
      <c r="A577" s="32"/>
      <c r="E577" s="1"/>
    </row>
    <row r="578" spans="1:5" ht="15.75" customHeight="1">
      <c r="A578" s="32"/>
      <c r="E578" s="1"/>
    </row>
    <row r="579" spans="1:5" ht="15.75" customHeight="1">
      <c r="A579" s="32"/>
      <c r="E579" s="1"/>
    </row>
    <row r="580" spans="1:5" ht="15.75" customHeight="1">
      <c r="A580" s="32"/>
      <c r="E580" s="1"/>
    </row>
    <row r="581" spans="1:5" ht="15.75" customHeight="1">
      <c r="A581" s="32"/>
      <c r="E581" s="1"/>
    </row>
    <row r="582" spans="1:5" ht="15.75" customHeight="1">
      <c r="A582" s="32"/>
      <c r="E582" s="1"/>
    </row>
    <row r="583" spans="1:5" ht="15.75" customHeight="1">
      <c r="A583" s="32"/>
      <c r="E583" s="1"/>
    </row>
    <row r="584" spans="1:5" ht="15.75" customHeight="1">
      <c r="A584" s="32"/>
      <c r="E584" s="1"/>
    </row>
    <row r="585" spans="1:5" ht="15.75" customHeight="1">
      <c r="A585" s="32"/>
      <c r="E585" s="1"/>
    </row>
    <row r="586" spans="1:5" ht="15.75" customHeight="1">
      <c r="A586" s="32"/>
      <c r="E586" s="1"/>
    </row>
    <row r="587" spans="1:5" ht="15.75" customHeight="1">
      <c r="A587" s="32"/>
      <c r="E587" s="1"/>
    </row>
    <row r="588" spans="1:5" ht="15.75" customHeight="1">
      <c r="A588" s="32"/>
      <c r="E588" s="1"/>
    </row>
    <row r="589" spans="1:5" ht="15.75" customHeight="1">
      <c r="A589" s="32"/>
      <c r="E589" s="1"/>
    </row>
    <row r="590" spans="1:5" ht="15.75" customHeight="1">
      <c r="A590" s="32"/>
      <c r="E590" s="1"/>
    </row>
    <row r="591" spans="1:5" ht="15.75" customHeight="1">
      <c r="A591" s="32"/>
      <c r="E591" s="1"/>
    </row>
    <row r="592" spans="1:5" ht="15.75" customHeight="1">
      <c r="A592" s="32"/>
      <c r="E592" s="1"/>
    </row>
    <row r="593" spans="1:5" ht="15.75" customHeight="1">
      <c r="A593" s="32"/>
      <c r="E593" s="1"/>
    </row>
    <row r="594" spans="1:5" ht="15.75" customHeight="1">
      <c r="A594" s="32"/>
      <c r="E594" s="1"/>
    </row>
    <row r="595" spans="1:5" ht="15.75" customHeight="1">
      <c r="A595" s="32"/>
      <c r="E595" s="1"/>
    </row>
    <row r="596" spans="1:5" ht="15.75" customHeight="1">
      <c r="A596" s="32"/>
      <c r="E596" s="1"/>
    </row>
    <row r="597" spans="1:5" ht="15.75" customHeight="1">
      <c r="A597" s="32"/>
      <c r="E597" s="1"/>
    </row>
    <row r="598" spans="1:5" ht="15.75" customHeight="1">
      <c r="A598" s="32"/>
      <c r="E598" s="1"/>
    </row>
    <row r="599" spans="1:5" ht="15.75" customHeight="1">
      <c r="A599" s="32"/>
      <c r="E599" s="1"/>
    </row>
    <row r="600" spans="1:5" ht="15.75" customHeight="1">
      <c r="A600" s="32"/>
      <c r="E600" s="1"/>
    </row>
    <row r="601" spans="1:5" ht="15.75" customHeight="1">
      <c r="A601" s="32"/>
      <c r="E601" s="1"/>
    </row>
    <row r="602" spans="1:5" ht="15.75" customHeight="1">
      <c r="A602" s="32"/>
      <c r="E602" s="1"/>
    </row>
    <row r="603" spans="1:5" ht="15.75" customHeight="1">
      <c r="A603" s="32"/>
      <c r="E603" s="1"/>
    </row>
    <row r="604" spans="1:5" ht="15.75" customHeight="1">
      <c r="A604" s="32"/>
      <c r="E604" s="1"/>
    </row>
    <row r="605" spans="1:5" ht="15.75" customHeight="1">
      <c r="A605" s="32"/>
      <c r="E605" s="1"/>
    </row>
    <row r="606" spans="1:5" ht="15.75" customHeight="1">
      <c r="A606" s="32"/>
      <c r="E606" s="1"/>
    </row>
    <row r="607" spans="1:5" ht="15.75" customHeight="1">
      <c r="A607" s="32"/>
      <c r="E607" s="1"/>
    </row>
    <row r="608" spans="1:5" ht="15.75" customHeight="1">
      <c r="A608" s="32"/>
      <c r="E608" s="1"/>
    </row>
    <row r="609" spans="1:5" ht="15.75" customHeight="1">
      <c r="A609" s="32"/>
      <c r="E609" s="1"/>
    </row>
    <row r="610" spans="1:5" ht="15.75" customHeight="1">
      <c r="A610" s="32"/>
      <c r="E610" s="1"/>
    </row>
    <row r="611" spans="1:5" ht="15.75" customHeight="1">
      <c r="A611" s="32"/>
      <c r="E611" s="1"/>
    </row>
    <row r="612" spans="1:5" ht="15.75" customHeight="1">
      <c r="A612" s="32"/>
      <c r="E612" s="1"/>
    </row>
    <row r="613" spans="1:5" ht="15.75" customHeight="1">
      <c r="A613" s="32"/>
      <c r="E613" s="1"/>
    </row>
    <row r="614" spans="1:5" ht="15.75" customHeight="1">
      <c r="A614" s="32"/>
      <c r="E614" s="1"/>
    </row>
    <row r="615" spans="1:5" ht="15.75" customHeight="1">
      <c r="A615" s="32"/>
      <c r="E615" s="1"/>
    </row>
    <row r="616" spans="1:5" ht="15.75" customHeight="1">
      <c r="A616" s="32"/>
      <c r="E616" s="1"/>
    </row>
    <row r="617" spans="1:5" ht="15.75" customHeight="1">
      <c r="A617" s="32"/>
      <c r="E617" s="1"/>
    </row>
    <row r="618" spans="1:5" ht="15.75" customHeight="1">
      <c r="A618" s="32"/>
      <c r="E618" s="1"/>
    </row>
    <row r="619" spans="1:5" ht="15.75" customHeight="1">
      <c r="A619" s="32"/>
      <c r="E619" s="1"/>
    </row>
    <row r="620" spans="1:5" ht="15.75" customHeight="1">
      <c r="A620" s="32"/>
      <c r="E620" s="1"/>
    </row>
    <row r="621" spans="1:5" ht="15.75" customHeight="1">
      <c r="A621" s="32"/>
      <c r="E621" s="1"/>
    </row>
    <row r="622" spans="1:5" ht="15.75" customHeight="1">
      <c r="A622" s="32"/>
      <c r="E622" s="1"/>
    </row>
    <row r="623" spans="1:5" ht="15.75" customHeight="1">
      <c r="A623" s="32"/>
      <c r="E623" s="1"/>
    </row>
    <row r="624" spans="1:5" ht="15.75" customHeight="1">
      <c r="A624" s="32"/>
      <c r="E624" s="1"/>
    </row>
    <row r="625" spans="1:5" ht="15.75" customHeight="1">
      <c r="A625" s="32"/>
      <c r="E625" s="1"/>
    </row>
    <row r="626" spans="1:5" ht="15.75" customHeight="1">
      <c r="A626" s="32"/>
      <c r="E626" s="1"/>
    </row>
    <row r="627" spans="1:5" ht="15.75" customHeight="1">
      <c r="A627" s="32"/>
      <c r="E627" s="1"/>
    </row>
    <row r="628" spans="1:5" ht="15.75" customHeight="1">
      <c r="A628" s="32"/>
      <c r="E628" s="1"/>
    </row>
    <row r="629" spans="1:5" ht="15.75" customHeight="1">
      <c r="A629" s="32"/>
      <c r="E629" s="1"/>
    </row>
    <row r="630" spans="1:5" ht="15.75" customHeight="1">
      <c r="A630" s="32"/>
      <c r="E630" s="1"/>
    </row>
    <row r="631" spans="1:5" ht="15.75" customHeight="1">
      <c r="A631" s="32"/>
      <c r="E631" s="1"/>
    </row>
    <row r="632" spans="1:5" ht="15.75" customHeight="1">
      <c r="A632" s="32"/>
      <c r="E632" s="1"/>
    </row>
    <row r="633" spans="1:5" ht="15.75" customHeight="1">
      <c r="A633" s="32"/>
      <c r="E633" s="1"/>
    </row>
    <row r="634" spans="1:5" ht="15.75" customHeight="1">
      <c r="A634" s="32"/>
      <c r="E634" s="1"/>
    </row>
    <row r="635" spans="1:5" ht="15.75" customHeight="1">
      <c r="A635" s="32"/>
      <c r="E635" s="1"/>
    </row>
    <row r="636" spans="1:5" ht="15.75" customHeight="1">
      <c r="A636" s="32"/>
      <c r="E636" s="1"/>
    </row>
    <row r="637" spans="1:5" ht="15.75" customHeight="1">
      <c r="A637" s="32"/>
      <c r="E637" s="1"/>
    </row>
    <row r="638" spans="1:5" ht="15.75" customHeight="1">
      <c r="A638" s="32"/>
      <c r="E638" s="1"/>
    </row>
    <row r="639" spans="1:5" ht="15.75" customHeight="1">
      <c r="A639" s="32"/>
      <c r="E639" s="1"/>
    </row>
    <row r="640" spans="1:5" ht="15.75" customHeight="1">
      <c r="A640" s="32"/>
      <c r="E640" s="1"/>
    </row>
    <row r="641" spans="1:5" ht="15.75" customHeight="1">
      <c r="A641" s="32"/>
      <c r="E641" s="1"/>
    </row>
    <row r="642" spans="1:5" ht="15.75" customHeight="1">
      <c r="A642" s="32"/>
      <c r="E642" s="1"/>
    </row>
    <row r="643" spans="1:5" ht="15.75" customHeight="1">
      <c r="A643" s="32"/>
      <c r="E643" s="1"/>
    </row>
    <row r="644" spans="1:5" ht="15.75" customHeight="1">
      <c r="A644" s="32"/>
      <c r="E644" s="1"/>
    </row>
    <row r="645" spans="1:5" ht="15.75" customHeight="1">
      <c r="A645" s="32"/>
      <c r="E645" s="1"/>
    </row>
    <row r="646" spans="1:5" ht="15.75" customHeight="1">
      <c r="A646" s="32"/>
      <c r="E646" s="1"/>
    </row>
    <row r="647" spans="1:5" ht="15.75" customHeight="1">
      <c r="A647" s="32"/>
      <c r="E647" s="1"/>
    </row>
    <row r="648" spans="1:5" ht="15.75" customHeight="1">
      <c r="A648" s="32"/>
      <c r="E648" s="1"/>
    </row>
    <row r="649" spans="1:5" ht="15.75" customHeight="1">
      <c r="A649" s="32"/>
      <c r="E649" s="1"/>
    </row>
    <row r="650" spans="1:5" ht="15.75" customHeight="1">
      <c r="A650" s="32"/>
      <c r="E650" s="1"/>
    </row>
    <row r="651" spans="1:5" ht="15.75" customHeight="1">
      <c r="A651" s="32"/>
      <c r="E651" s="1"/>
    </row>
    <row r="652" spans="1:5" ht="15.75" customHeight="1">
      <c r="A652" s="32"/>
      <c r="E652" s="1"/>
    </row>
    <row r="653" spans="1:5" ht="15.75" customHeight="1">
      <c r="A653" s="32"/>
      <c r="E653" s="1"/>
    </row>
    <row r="654" spans="1:5" ht="15.75" customHeight="1">
      <c r="A654" s="32"/>
      <c r="E654" s="1"/>
    </row>
    <row r="655" spans="1:5" ht="15.75" customHeight="1">
      <c r="A655" s="32"/>
      <c r="E655" s="1"/>
    </row>
    <row r="656" spans="1:5" ht="15.75" customHeight="1">
      <c r="A656" s="32"/>
      <c r="E656" s="1"/>
    </row>
    <row r="657" spans="1:5" ht="15.75" customHeight="1">
      <c r="A657" s="32"/>
      <c r="E657" s="1"/>
    </row>
    <row r="658" spans="1:5" ht="15.75" customHeight="1">
      <c r="A658" s="32"/>
      <c r="E658" s="1"/>
    </row>
    <row r="659" spans="1:5" ht="15.75" customHeight="1">
      <c r="A659" s="32"/>
      <c r="E659" s="1"/>
    </row>
    <row r="660" spans="1:5" ht="15.75" customHeight="1">
      <c r="A660" s="32"/>
      <c r="E660" s="1"/>
    </row>
    <row r="661" spans="1:5" ht="15.75" customHeight="1">
      <c r="A661" s="32"/>
      <c r="E661" s="1"/>
    </row>
    <row r="662" spans="1:5" ht="15.75" customHeight="1">
      <c r="A662" s="32"/>
      <c r="E662" s="1"/>
    </row>
    <row r="663" spans="1:5" ht="15.75" customHeight="1">
      <c r="A663" s="32"/>
      <c r="E663" s="1"/>
    </row>
    <row r="664" spans="1:5" ht="15.75" customHeight="1">
      <c r="A664" s="32"/>
      <c r="E664" s="1"/>
    </row>
    <row r="665" spans="1:5" ht="15.75" customHeight="1">
      <c r="A665" s="32"/>
      <c r="E665" s="1"/>
    </row>
    <row r="666" spans="1:5" ht="15.75" customHeight="1">
      <c r="A666" s="32"/>
      <c r="E666" s="1"/>
    </row>
    <row r="667" spans="1:5" ht="15.75" customHeight="1">
      <c r="A667" s="32"/>
      <c r="E667" s="1"/>
    </row>
    <row r="668" spans="1:5" ht="15.75" customHeight="1">
      <c r="A668" s="32"/>
      <c r="E668" s="1"/>
    </row>
    <row r="669" spans="1:5" ht="15.75" customHeight="1">
      <c r="A669" s="32"/>
      <c r="E669" s="1"/>
    </row>
    <row r="670" spans="1:5" ht="15.75" customHeight="1">
      <c r="A670" s="32"/>
      <c r="E670" s="1"/>
    </row>
    <row r="671" spans="1:5" ht="15.75" customHeight="1">
      <c r="A671" s="32"/>
      <c r="E671" s="1"/>
    </row>
    <row r="672" spans="1:5" ht="15.75" customHeight="1">
      <c r="A672" s="32"/>
      <c r="E672" s="1"/>
    </row>
    <row r="673" spans="1:5" ht="15.75" customHeight="1">
      <c r="A673" s="32"/>
      <c r="E673" s="1"/>
    </row>
    <row r="674" spans="1:5" ht="15.75" customHeight="1">
      <c r="A674" s="32"/>
      <c r="E674" s="1"/>
    </row>
    <row r="675" spans="1:5" ht="15.75" customHeight="1">
      <c r="A675" s="32"/>
      <c r="E675" s="1"/>
    </row>
    <row r="676" spans="1:5" ht="15.75" customHeight="1">
      <c r="A676" s="32"/>
      <c r="E676" s="1"/>
    </row>
    <row r="677" spans="1:5" ht="15.75" customHeight="1">
      <c r="A677" s="32"/>
      <c r="E677" s="1"/>
    </row>
    <row r="678" spans="1:5" ht="15.75" customHeight="1">
      <c r="A678" s="32"/>
      <c r="E678" s="1"/>
    </row>
    <row r="679" spans="1:5" ht="15.75" customHeight="1">
      <c r="A679" s="32"/>
      <c r="E679" s="1"/>
    </row>
    <row r="680" spans="1:5" ht="15.75" customHeight="1">
      <c r="A680" s="32"/>
      <c r="E680" s="1"/>
    </row>
    <row r="681" spans="1:5" ht="15.75" customHeight="1">
      <c r="A681" s="32"/>
      <c r="E681" s="1"/>
    </row>
    <row r="682" spans="1:5" ht="15.75" customHeight="1">
      <c r="A682" s="32"/>
      <c r="E682" s="1"/>
    </row>
    <row r="683" spans="1:5" ht="15.75" customHeight="1">
      <c r="A683" s="32"/>
      <c r="E683" s="1"/>
    </row>
    <row r="684" spans="1:5" ht="15.75" customHeight="1">
      <c r="A684" s="32"/>
      <c r="E684" s="1"/>
    </row>
    <row r="685" spans="1:5" ht="15.75" customHeight="1">
      <c r="A685" s="32"/>
      <c r="E685" s="1"/>
    </row>
    <row r="686" spans="1:5" ht="15.75" customHeight="1">
      <c r="A686" s="32"/>
      <c r="E686" s="1"/>
    </row>
    <row r="687" spans="1:5" ht="15.75" customHeight="1">
      <c r="A687" s="32"/>
      <c r="E687" s="1"/>
    </row>
    <row r="688" spans="1:5" ht="15.75" customHeight="1">
      <c r="A688" s="32"/>
      <c r="E688" s="1"/>
    </row>
    <row r="689" spans="1:5" ht="15.75" customHeight="1">
      <c r="A689" s="32"/>
      <c r="E689" s="1"/>
    </row>
    <row r="690" spans="1:5" ht="15.75" customHeight="1">
      <c r="A690" s="32"/>
      <c r="E690" s="1"/>
    </row>
    <row r="691" spans="1:5" ht="15.75" customHeight="1">
      <c r="A691" s="32"/>
      <c r="E691" s="1"/>
    </row>
    <row r="692" spans="1:5" ht="15.75" customHeight="1">
      <c r="A692" s="32"/>
      <c r="E692" s="1"/>
    </row>
    <row r="693" spans="1:5" ht="15.75" customHeight="1">
      <c r="A693" s="32"/>
      <c r="E693" s="1"/>
    </row>
    <row r="694" spans="1:5" ht="15.75" customHeight="1">
      <c r="A694" s="32"/>
      <c r="E694" s="1"/>
    </row>
    <row r="695" spans="1:5" ht="15.75" customHeight="1">
      <c r="A695" s="32"/>
      <c r="E695" s="1"/>
    </row>
    <row r="696" spans="1:5" ht="15.75" customHeight="1">
      <c r="A696" s="32"/>
      <c r="E696" s="1"/>
    </row>
    <row r="697" spans="1:5" ht="15.75" customHeight="1">
      <c r="A697" s="32"/>
      <c r="E697" s="1"/>
    </row>
    <row r="698" spans="1:5" ht="15.75" customHeight="1">
      <c r="A698" s="32"/>
      <c r="E698" s="1"/>
    </row>
    <row r="699" spans="1:5" ht="15.75" customHeight="1">
      <c r="A699" s="32"/>
      <c r="E699" s="1"/>
    </row>
    <row r="700" spans="1:5" ht="15.75" customHeight="1">
      <c r="A700" s="32"/>
      <c r="E700" s="1"/>
    </row>
    <row r="701" spans="1:5" ht="15.75" customHeight="1">
      <c r="A701" s="32"/>
      <c r="E701" s="1"/>
    </row>
    <row r="702" spans="1:5" ht="15.75" customHeight="1">
      <c r="A702" s="32"/>
      <c r="E702" s="1"/>
    </row>
    <row r="703" spans="1:5" ht="15.75" customHeight="1">
      <c r="A703" s="32"/>
      <c r="E703" s="1"/>
    </row>
    <row r="704" spans="1:5" ht="15.75" customHeight="1">
      <c r="A704" s="32"/>
      <c r="E704" s="1"/>
    </row>
    <row r="705" spans="1:5" ht="15.75" customHeight="1">
      <c r="A705" s="32"/>
      <c r="E705" s="1"/>
    </row>
    <row r="706" spans="1:5" ht="15.75" customHeight="1">
      <c r="A706" s="32"/>
      <c r="E706" s="1"/>
    </row>
    <row r="707" spans="1:5" ht="15.75" customHeight="1">
      <c r="A707" s="32"/>
      <c r="E707" s="1"/>
    </row>
    <row r="708" spans="1:5" ht="15.75" customHeight="1">
      <c r="A708" s="32"/>
      <c r="E708" s="1"/>
    </row>
    <row r="709" spans="1:5" ht="15.75" customHeight="1">
      <c r="A709" s="32"/>
      <c r="E709" s="1"/>
    </row>
    <row r="710" spans="1:5" ht="15.75" customHeight="1">
      <c r="A710" s="32"/>
      <c r="E710" s="1"/>
    </row>
    <row r="711" spans="1:5" ht="15.75" customHeight="1">
      <c r="A711" s="32"/>
      <c r="E711" s="1"/>
    </row>
    <row r="712" spans="1:5" ht="15.75" customHeight="1">
      <c r="A712" s="32"/>
      <c r="E712" s="1"/>
    </row>
    <row r="713" spans="1:5" ht="15.75" customHeight="1">
      <c r="A713" s="32"/>
      <c r="E713" s="1"/>
    </row>
    <row r="714" spans="1:5" ht="15.75" customHeight="1">
      <c r="A714" s="32"/>
      <c r="E714" s="1"/>
    </row>
    <row r="715" spans="1:5" ht="15.75" customHeight="1">
      <c r="A715" s="32"/>
      <c r="E715" s="1"/>
    </row>
    <row r="716" spans="1:5" ht="15.75" customHeight="1">
      <c r="A716" s="32"/>
      <c r="E716" s="1"/>
    </row>
    <row r="717" spans="1:5" ht="15.75" customHeight="1">
      <c r="A717" s="32"/>
      <c r="E717" s="1"/>
    </row>
    <row r="718" spans="1:5" ht="15.75" customHeight="1">
      <c r="A718" s="32"/>
      <c r="E718" s="1"/>
    </row>
    <row r="719" spans="1:5" ht="15.75" customHeight="1">
      <c r="A719" s="32"/>
      <c r="E719" s="1"/>
    </row>
    <row r="720" spans="1:5" ht="15.75" customHeight="1">
      <c r="A720" s="32"/>
      <c r="E720" s="1"/>
    </row>
    <row r="721" spans="1:5" ht="15.75" customHeight="1">
      <c r="A721" s="32"/>
      <c r="E721" s="1"/>
    </row>
    <row r="722" spans="1:5" ht="15.75" customHeight="1">
      <c r="A722" s="32"/>
      <c r="E722" s="1"/>
    </row>
    <row r="723" spans="1:5" ht="15.75" customHeight="1">
      <c r="A723" s="32"/>
      <c r="E723" s="1"/>
    </row>
    <row r="724" spans="1:5" ht="15.75" customHeight="1">
      <c r="A724" s="32"/>
      <c r="E724" s="1"/>
    </row>
    <row r="725" spans="1:5" ht="15.75" customHeight="1">
      <c r="A725" s="32"/>
      <c r="E725" s="1"/>
    </row>
    <row r="726" spans="1:5" ht="15.75" customHeight="1">
      <c r="A726" s="32"/>
      <c r="E726" s="1"/>
    </row>
    <row r="727" spans="1:5" ht="15.75" customHeight="1">
      <c r="A727" s="32"/>
      <c r="E727" s="1"/>
    </row>
    <row r="728" spans="1:5" ht="15.75" customHeight="1">
      <c r="A728" s="32"/>
      <c r="E728" s="1"/>
    </row>
    <row r="729" spans="1:5" ht="15.75" customHeight="1">
      <c r="A729" s="32"/>
      <c r="E729" s="1"/>
    </row>
    <row r="730" spans="1:5" ht="15.75" customHeight="1">
      <c r="A730" s="32"/>
      <c r="E730" s="1"/>
    </row>
    <row r="731" spans="1:5" ht="15.75" customHeight="1">
      <c r="A731" s="32"/>
      <c r="E731" s="1"/>
    </row>
    <row r="732" spans="1:5" ht="15.75" customHeight="1">
      <c r="A732" s="32"/>
      <c r="E732" s="1"/>
    </row>
    <row r="733" spans="1:5" ht="15.75" customHeight="1">
      <c r="A733" s="32"/>
      <c r="E733" s="1"/>
    </row>
    <row r="734" spans="1:5" ht="15.75" customHeight="1">
      <c r="A734" s="32"/>
      <c r="E734" s="1"/>
    </row>
    <row r="735" spans="1:5" ht="15.75" customHeight="1">
      <c r="A735" s="32"/>
      <c r="E735" s="1"/>
    </row>
    <row r="736" spans="1:5" ht="15.75" customHeight="1">
      <c r="A736" s="32"/>
      <c r="E736" s="1"/>
    </row>
    <row r="737" spans="1:5" ht="15.75" customHeight="1">
      <c r="A737" s="32"/>
      <c r="E737" s="1"/>
    </row>
    <row r="738" spans="1:5" ht="15.75" customHeight="1">
      <c r="A738" s="32"/>
      <c r="E738" s="1"/>
    </row>
    <row r="739" spans="1:5" ht="15.75" customHeight="1">
      <c r="A739" s="32"/>
      <c r="E739" s="1"/>
    </row>
    <row r="740" spans="1:5" ht="15.75" customHeight="1">
      <c r="A740" s="32"/>
      <c r="E740" s="1"/>
    </row>
    <row r="741" spans="1:5" ht="15.75" customHeight="1">
      <c r="A741" s="32"/>
      <c r="E741" s="1"/>
    </row>
    <row r="742" spans="1:5" ht="15.75" customHeight="1">
      <c r="A742" s="32"/>
      <c r="E742" s="1"/>
    </row>
    <row r="743" spans="1:5" ht="15.75" customHeight="1">
      <c r="A743" s="32"/>
      <c r="E743" s="1"/>
    </row>
    <row r="744" spans="1:5" ht="15.75" customHeight="1">
      <c r="A744" s="32"/>
      <c r="E744" s="1"/>
    </row>
    <row r="745" spans="1:5" ht="15.75" customHeight="1">
      <c r="A745" s="32"/>
      <c r="E745" s="1"/>
    </row>
    <row r="746" spans="1:5" ht="15.75" customHeight="1">
      <c r="A746" s="32"/>
      <c r="E746" s="1"/>
    </row>
    <row r="747" spans="1:5" ht="15.75" customHeight="1">
      <c r="A747" s="32"/>
      <c r="E747" s="1"/>
    </row>
    <row r="748" spans="1:5" ht="15.75" customHeight="1">
      <c r="A748" s="32"/>
      <c r="E748" s="1"/>
    </row>
    <row r="749" spans="1:5" ht="15.75" customHeight="1">
      <c r="A749" s="32"/>
      <c r="E749" s="1"/>
    </row>
    <row r="750" spans="1:5" ht="15.75" customHeight="1">
      <c r="A750" s="32"/>
      <c r="E750" s="1"/>
    </row>
    <row r="751" spans="1:5" ht="15.75" customHeight="1">
      <c r="A751" s="32"/>
      <c r="E751" s="1"/>
    </row>
    <row r="752" spans="1:5" ht="15.75" customHeight="1">
      <c r="A752" s="32"/>
      <c r="E752" s="1"/>
    </row>
    <row r="753" spans="1:5" ht="15.75" customHeight="1">
      <c r="A753" s="32"/>
      <c r="E753" s="1"/>
    </row>
    <row r="754" spans="1:5" ht="15.75" customHeight="1">
      <c r="A754" s="32"/>
      <c r="E754" s="1"/>
    </row>
    <row r="755" spans="1:5" ht="15.75" customHeight="1">
      <c r="A755" s="32"/>
      <c r="E755" s="1"/>
    </row>
    <row r="756" spans="1:5" ht="15.75" customHeight="1">
      <c r="A756" s="32"/>
      <c r="E756" s="1"/>
    </row>
    <row r="757" spans="1:5" ht="15.75" customHeight="1">
      <c r="A757" s="32"/>
      <c r="E757" s="1"/>
    </row>
    <row r="758" spans="1:5" ht="15.75" customHeight="1">
      <c r="A758" s="32"/>
      <c r="E758" s="1"/>
    </row>
    <row r="759" spans="1:5" ht="15.75" customHeight="1">
      <c r="A759" s="32"/>
      <c r="E759" s="1"/>
    </row>
    <row r="760" spans="1:5" ht="15.75" customHeight="1">
      <c r="A760" s="32"/>
      <c r="E760" s="1"/>
    </row>
    <row r="761" spans="1:5" ht="15.75" customHeight="1">
      <c r="A761" s="32"/>
      <c r="E761" s="1"/>
    </row>
    <row r="762" spans="1:5" ht="15.75" customHeight="1">
      <c r="A762" s="32"/>
      <c r="E762" s="1"/>
    </row>
    <row r="763" spans="1:5" ht="15.75" customHeight="1">
      <c r="A763" s="32"/>
      <c r="E763" s="1"/>
    </row>
    <row r="764" spans="1:5" ht="15.75" customHeight="1">
      <c r="A764" s="32"/>
      <c r="E764" s="1"/>
    </row>
    <row r="765" spans="1:5" ht="15.75" customHeight="1">
      <c r="A765" s="32"/>
      <c r="E765" s="1"/>
    </row>
    <row r="766" spans="1:5" ht="15.75" customHeight="1">
      <c r="A766" s="32"/>
      <c r="E766" s="1"/>
    </row>
    <row r="767" spans="1:5" ht="15.75" customHeight="1">
      <c r="A767" s="32"/>
      <c r="E767" s="1"/>
    </row>
    <row r="768" spans="1:5" ht="15.75" customHeight="1">
      <c r="A768" s="32"/>
      <c r="E768" s="1"/>
    </row>
    <row r="769" spans="1:5" ht="15.75" customHeight="1">
      <c r="A769" s="32"/>
      <c r="E769" s="1"/>
    </row>
    <row r="770" spans="1:5" ht="15.75" customHeight="1">
      <c r="A770" s="32"/>
      <c r="E770" s="1"/>
    </row>
    <row r="771" spans="1:5" ht="15.75" customHeight="1">
      <c r="A771" s="32"/>
      <c r="E771" s="1"/>
    </row>
    <row r="772" spans="1:5" ht="15.75" customHeight="1">
      <c r="A772" s="32"/>
      <c r="E772" s="1"/>
    </row>
    <row r="773" spans="1:5" ht="15.75" customHeight="1">
      <c r="A773" s="32"/>
      <c r="E773" s="1"/>
    </row>
    <row r="774" spans="1:5" ht="15.75" customHeight="1">
      <c r="A774" s="32"/>
      <c r="E774" s="1"/>
    </row>
    <row r="775" spans="1:5" ht="15.75" customHeight="1">
      <c r="A775" s="32"/>
      <c r="E775" s="1"/>
    </row>
    <row r="776" spans="1:5" ht="15.75" customHeight="1">
      <c r="A776" s="32"/>
      <c r="E776" s="1"/>
    </row>
    <row r="777" spans="1:5" ht="15.75" customHeight="1">
      <c r="A777" s="32"/>
      <c r="E777" s="1"/>
    </row>
    <row r="778" spans="1:5" ht="15.75" customHeight="1">
      <c r="A778" s="32"/>
      <c r="E778" s="1"/>
    </row>
    <row r="779" spans="1:5" ht="15.75" customHeight="1">
      <c r="A779" s="32"/>
      <c r="E779" s="1"/>
    </row>
    <row r="780" spans="1:5" ht="15.75" customHeight="1">
      <c r="A780" s="32"/>
      <c r="E780" s="1"/>
    </row>
    <row r="781" spans="1:5" ht="15.75" customHeight="1">
      <c r="A781" s="32"/>
      <c r="E781" s="1"/>
    </row>
    <row r="782" spans="1:5" ht="15.75" customHeight="1">
      <c r="A782" s="32"/>
      <c r="E782" s="1"/>
    </row>
    <row r="783" spans="1:5" ht="15.75" customHeight="1">
      <c r="A783" s="32"/>
      <c r="E783" s="1"/>
    </row>
    <row r="784" spans="1:5" ht="15.75" customHeight="1">
      <c r="A784" s="32"/>
      <c r="E784" s="1"/>
    </row>
    <row r="785" spans="1:5" ht="15.75" customHeight="1">
      <c r="A785" s="32"/>
      <c r="E785" s="1"/>
    </row>
    <row r="786" spans="1:5" ht="15.75" customHeight="1">
      <c r="A786" s="32"/>
      <c r="E786" s="1"/>
    </row>
    <row r="787" spans="1:5" ht="15.75" customHeight="1">
      <c r="A787" s="32"/>
      <c r="E787" s="1"/>
    </row>
    <row r="788" spans="1:5" ht="15.75" customHeight="1">
      <c r="A788" s="32"/>
      <c r="E788" s="1"/>
    </row>
    <row r="789" spans="1:5" ht="15.75" customHeight="1">
      <c r="A789" s="32"/>
      <c r="E789" s="1"/>
    </row>
    <row r="790" spans="1:5" ht="15.75" customHeight="1">
      <c r="A790" s="32"/>
      <c r="E790" s="1"/>
    </row>
    <row r="791" spans="1:5" ht="15.75" customHeight="1">
      <c r="A791" s="32"/>
      <c r="E791" s="1"/>
    </row>
    <row r="792" spans="1:5" ht="15.75" customHeight="1">
      <c r="A792" s="32"/>
      <c r="E792" s="1"/>
    </row>
    <row r="793" spans="1:5" ht="15.75" customHeight="1">
      <c r="A793" s="32"/>
      <c r="E793" s="1"/>
    </row>
    <row r="794" spans="1:5" ht="15.75" customHeight="1">
      <c r="A794" s="32"/>
      <c r="E794" s="1"/>
    </row>
    <row r="795" spans="1:5" ht="15.75" customHeight="1">
      <c r="A795" s="32"/>
      <c r="E795" s="1"/>
    </row>
    <row r="796" spans="1:5" ht="15.75" customHeight="1">
      <c r="A796" s="32"/>
      <c r="E796" s="1"/>
    </row>
    <row r="797" spans="1:5" ht="15.75" customHeight="1">
      <c r="A797" s="32"/>
      <c r="E797" s="1"/>
    </row>
    <row r="798" spans="1:5" ht="15.75" customHeight="1">
      <c r="A798" s="32"/>
      <c r="E798" s="1"/>
    </row>
    <row r="799" spans="1:5" ht="15.75" customHeight="1">
      <c r="A799" s="32"/>
      <c r="E799" s="1"/>
    </row>
    <row r="800" spans="1:5" ht="15.75" customHeight="1">
      <c r="A800" s="32"/>
      <c r="E800" s="1"/>
    </row>
    <row r="801" spans="1:5" ht="15.75" customHeight="1">
      <c r="A801" s="32"/>
      <c r="E801" s="1"/>
    </row>
    <row r="802" spans="1:5" ht="15.75" customHeight="1">
      <c r="A802" s="32"/>
      <c r="E802" s="1"/>
    </row>
    <row r="803" spans="1:5" ht="15.75" customHeight="1">
      <c r="A803" s="32"/>
      <c r="E803" s="1"/>
    </row>
    <row r="804" spans="1:5" ht="15.75" customHeight="1">
      <c r="A804" s="32"/>
      <c r="E804" s="1"/>
    </row>
    <row r="805" spans="1:5" ht="15.75" customHeight="1">
      <c r="A805" s="32"/>
      <c r="E805" s="1"/>
    </row>
    <row r="806" spans="1:5" ht="15.75" customHeight="1">
      <c r="A806" s="32"/>
      <c r="E806" s="1"/>
    </row>
    <row r="807" spans="1:5" ht="15.75" customHeight="1">
      <c r="A807" s="32"/>
      <c r="E807" s="1"/>
    </row>
    <row r="808" spans="1:5" ht="15.75" customHeight="1">
      <c r="A808" s="32"/>
      <c r="E808" s="1"/>
    </row>
    <row r="809" spans="1:5" ht="15.75" customHeight="1">
      <c r="A809" s="32"/>
      <c r="E809" s="1"/>
    </row>
    <row r="810" spans="1:5" ht="15.75" customHeight="1">
      <c r="A810" s="32"/>
      <c r="E810" s="1"/>
    </row>
    <row r="811" spans="1:5" ht="15.75" customHeight="1">
      <c r="A811" s="32"/>
      <c r="E811" s="1"/>
    </row>
    <row r="812" spans="1:5" ht="15.75" customHeight="1">
      <c r="A812" s="32"/>
      <c r="E812" s="1"/>
    </row>
    <row r="813" spans="1:5" ht="15.75" customHeight="1">
      <c r="A813" s="32"/>
      <c r="E813" s="1"/>
    </row>
    <row r="814" spans="1:5" ht="15.75" customHeight="1">
      <c r="A814" s="32"/>
      <c r="E814" s="1"/>
    </row>
    <row r="815" spans="1:5" ht="15.75" customHeight="1">
      <c r="A815" s="32"/>
      <c r="E815" s="1"/>
    </row>
    <row r="816" spans="1:5" ht="15.75" customHeight="1">
      <c r="A816" s="32"/>
      <c r="E816" s="1"/>
    </row>
    <row r="817" spans="1:5" ht="15.75" customHeight="1">
      <c r="A817" s="32"/>
      <c r="E817" s="1"/>
    </row>
    <row r="818" spans="1:5" ht="15.75" customHeight="1">
      <c r="A818" s="32"/>
      <c r="E818" s="1"/>
    </row>
    <row r="819" spans="1:5" ht="15.75" customHeight="1">
      <c r="A819" s="32"/>
      <c r="E819" s="1"/>
    </row>
    <row r="820" spans="1:5" ht="15.75" customHeight="1">
      <c r="A820" s="32"/>
      <c r="E820" s="1"/>
    </row>
    <row r="821" spans="1:5" ht="15.75" customHeight="1">
      <c r="A821" s="32"/>
      <c r="E821" s="1"/>
    </row>
    <row r="822" spans="1:5" ht="15.75" customHeight="1">
      <c r="A822" s="32"/>
      <c r="E822" s="1"/>
    </row>
    <row r="823" spans="1:5" ht="15.75" customHeight="1">
      <c r="A823" s="32"/>
      <c r="E823" s="1"/>
    </row>
    <row r="824" spans="1:5" ht="15.75" customHeight="1">
      <c r="A824" s="32"/>
      <c r="E824" s="1"/>
    </row>
    <row r="825" spans="1:5" ht="15.75" customHeight="1">
      <c r="A825" s="32"/>
      <c r="E825" s="1"/>
    </row>
    <row r="826" spans="1:5" ht="15.75" customHeight="1">
      <c r="A826" s="32"/>
      <c r="E826" s="1"/>
    </row>
    <row r="827" spans="1:5" ht="15.75" customHeight="1">
      <c r="A827" s="32"/>
      <c r="E827" s="1"/>
    </row>
    <row r="828" spans="1:5" ht="15.75" customHeight="1">
      <c r="A828" s="32"/>
      <c r="E828" s="1"/>
    </row>
    <row r="829" spans="1:5" ht="15.75" customHeight="1">
      <c r="A829" s="32"/>
      <c r="E829" s="1"/>
    </row>
    <row r="830" spans="1:5" ht="15.75" customHeight="1">
      <c r="A830" s="32"/>
      <c r="E830" s="1"/>
    </row>
    <row r="831" spans="1:5" ht="15.75" customHeight="1">
      <c r="A831" s="32"/>
      <c r="E831" s="1"/>
    </row>
    <row r="832" spans="1:5" ht="15.75" customHeight="1">
      <c r="A832" s="32"/>
      <c r="E832" s="1"/>
    </row>
    <row r="833" spans="1:5" ht="15.75" customHeight="1">
      <c r="A833" s="32"/>
      <c r="E833" s="1"/>
    </row>
    <row r="834" spans="1:5" ht="15.75" customHeight="1">
      <c r="A834" s="32"/>
      <c r="E834" s="1"/>
    </row>
    <row r="835" spans="1:5" ht="15.75" customHeight="1">
      <c r="A835" s="32"/>
      <c r="E835" s="1"/>
    </row>
    <row r="836" spans="1:5" ht="15.75" customHeight="1">
      <c r="A836" s="32"/>
      <c r="E836" s="1"/>
    </row>
    <row r="837" spans="1:5" ht="15.75" customHeight="1">
      <c r="A837" s="32"/>
      <c r="E837" s="1"/>
    </row>
    <row r="838" spans="1:5" ht="15.75" customHeight="1">
      <c r="A838" s="32"/>
      <c r="E838" s="1"/>
    </row>
    <row r="839" spans="1:5" ht="15.75" customHeight="1">
      <c r="A839" s="32"/>
      <c r="E839" s="1"/>
    </row>
    <row r="840" spans="1:5" ht="15.75" customHeight="1">
      <c r="A840" s="32"/>
      <c r="E840" s="1"/>
    </row>
    <row r="841" spans="1:5" ht="15.75" customHeight="1">
      <c r="A841" s="32"/>
      <c r="E841" s="1"/>
    </row>
    <row r="842" spans="1:5" ht="15.75" customHeight="1">
      <c r="A842" s="32"/>
      <c r="E842" s="1"/>
    </row>
    <row r="843" spans="1:5" ht="15.75" customHeight="1">
      <c r="A843" s="32"/>
      <c r="E843" s="1"/>
    </row>
    <row r="844" spans="1:5" ht="15.75" customHeight="1">
      <c r="A844" s="32"/>
      <c r="E844" s="1"/>
    </row>
    <row r="845" spans="1:5" ht="15.75" customHeight="1">
      <c r="A845" s="32"/>
      <c r="E845" s="1"/>
    </row>
    <row r="846" spans="1:5" ht="15.75" customHeight="1">
      <c r="A846" s="32"/>
      <c r="E846" s="1"/>
    </row>
    <row r="847" spans="1:5" ht="15.75" customHeight="1">
      <c r="A847" s="32"/>
      <c r="E847" s="1"/>
    </row>
    <row r="848" spans="1:5" ht="15.75" customHeight="1">
      <c r="A848" s="32"/>
      <c r="E848" s="1"/>
    </row>
    <row r="849" spans="1:5" ht="15.75" customHeight="1">
      <c r="A849" s="32"/>
      <c r="E849" s="1"/>
    </row>
    <row r="850" spans="1:5" ht="15.75" customHeight="1">
      <c r="A850" s="32"/>
      <c r="E850" s="1"/>
    </row>
    <row r="851" spans="1:5" ht="15.75" customHeight="1">
      <c r="A851" s="32"/>
      <c r="E851" s="1"/>
    </row>
    <row r="852" spans="1:5" ht="15.75" customHeight="1">
      <c r="A852" s="32"/>
      <c r="E852" s="1"/>
    </row>
    <row r="853" spans="1:5" ht="15.75" customHeight="1">
      <c r="A853" s="32"/>
      <c r="E853" s="1"/>
    </row>
    <row r="854" spans="1:5" ht="15.75" customHeight="1">
      <c r="A854" s="32"/>
      <c r="E854" s="1"/>
    </row>
    <row r="855" spans="1:5" ht="15.75" customHeight="1">
      <c r="A855" s="32"/>
      <c r="E855" s="1"/>
    </row>
    <row r="856" spans="1:5" ht="15.75" customHeight="1">
      <c r="A856" s="32"/>
      <c r="E856" s="1"/>
    </row>
    <row r="857" spans="1:5" ht="15.75" customHeight="1">
      <c r="A857" s="32"/>
      <c r="E857" s="1"/>
    </row>
    <row r="858" spans="1:5" ht="15.75" customHeight="1">
      <c r="A858" s="32"/>
      <c r="E858" s="1"/>
    </row>
    <row r="859" spans="1:5" ht="15.75" customHeight="1">
      <c r="A859" s="32"/>
      <c r="E859" s="1"/>
    </row>
    <row r="860" spans="1:5" ht="15.75" customHeight="1">
      <c r="A860" s="32"/>
      <c r="E860" s="1"/>
    </row>
    <row r="861" spans="1:5" ht="15.75" customHeight="1">
      <c r="A861" s="32"/>
      <c r="E861" s="1"/>
    </row>
    <row r="862" spans="1:5" ht="15.75" customHeight="1">
      <c r="A862" s="32"/>
      <c r="E862" s="1"/>
    </row>
    <row r="863" spans="1:5" ht="15.75" customHeight="1">
      <c r="A863" s="32"/>
      <c r="E863" s="1"/>
    </row>
    <row r="864" spans="1:5" ht="15.75" customHeight="1">
      <c r="A864" s="32"/>
      <c r="E864" s="1"/>
    </row>
    <row r="865" spans="1:5" ht="15.75" customHeight="1">
      <c r="A865" s="32"/>
      <c r="E865" s="1"/>
    </row>
    <row r="866" spans="1:5" ht="15.75" customHeight="1">
      <c r="A866" s="32"/>
      <c r="E866" s="1"/>
    </row>
    <row r="867" spans="1:5" ht="15.75" customHeight="1">
      <c r="A867" s="32"/>
      <c r="E867" s="1"/>
    </row>
    <row r="868" spans="1:5" ht="15.75" customHeight="1">
      <c r="A868" s="32"/>
      <c r="E868" s="1"/>
    </row>
    <row r="869" spans="1:5" ht="15.75" customHeight="1">
      <c r="A869" s="32"/>
      <c r="E869" s="1"/>
    </row>
    <row r="870" spans="1:5" ht="15.75" customHeight="1">
      <c r="A870" s="32"/>
      <c r="E870" s="1"/>
    </row>
    <row r="871" spans="1:5" ht="15.75" customHeight="1">
      <c r="A871" s="32"/>
      <c r="E871" s="1"/>
    </row>
    <row r="872" spans="1:5" ht="15.75" customHeight="1">
      <c r="A872" s="32"/>
      <c r="E872" s="1"/>
    </row>
    <row r="873" spans="1:5" ht="15.75" customHeight="1">
      <c r="A873" s="32"/>
      <c r="E873" s="1"/>
    </row>
    <row r="874" spans="1:5" ht="15.75" customHeight="1">
      <c r="A874" s="32"/>
      <c r="E874" s="1"/>
    </row>
    <row r="875" spans="1:5" ht="15.75" customHeight="1">
      <c r="A875" s="32"/>
      <c r="E875" s="1"/>
    </row>
    <row r="876" spans="1:5" ht="15.75" customHeight="1">
      <c r="A876" s="32"/>
      <c r="E876" s="1"/>
    </row>
    <row r="877" spans="1:5" ht="15.75" customHeight="1">
      <c r="A877" s="32"/>
      <c r="E877" s="1"/>
    </row>
    <row r="878" spans="1:5" ht="15.75" customHeight="1">
      <c r="A878" s="32"/>
      <c r="E878" s="1"/>
    </row>
    <row r="879" spans="1:5" ht="15.75" customHeight="1">
      <c r="A879" s="32"/>
      <c r="E879" s="1"/>
    </row>
    <row r="880" spans="1:5" ht="15.75" customHeight="1">
      <c r="A880" s="32"/>
      <c r="E880" s="1"/>
    </row>
    <row r="881" spans="1:5" ht="15.75" customHeight="1">
      <c r="A881" s="32"/>
      <c r="E881" s="1"/>
    </row>
    <row r="882" spans="1:5" ht="15.75" customHeight="1">
      <c r="A882" s="32"/>
      <c r="E882" s="1"/>
    </row>
    <row r="883" spans="1:5" ht="15.75" customHeight="1">
      <c r="A883" s="32"/>
      <c r="E883" s="1"/>
    </row>
    <row r="884" spans="1:5" ht="15.75" customHeight="1">
      <c r="A884" s="32"/>
      <c r="E884" s="1"/>
    </row>
    <row r="885" spans="1:5" ht="15.75" customHeight="1">
      <c r="A885" s="32"/>
      <c r="E885" s="1"/>
    </row>
    <row r="886" spans="1:5" ht="15.75" customHeight="1">
      <c r="A886" s="32"/>
      <c r="E886" s="1"/>
    </row>
    <row r="887" spans="1:5" ht="15.75" customHeight="1">
      <c r="A887" s="32"/>
      <c r="E887" s="1"/>
    </row>
    <row r="888" spans="1:5" ht="15.75" customHeight="1">
      <c r="A888" s="32"/>
      <c r="E888" s="1"/>
    </row>
    <row r="889" spans="1:5" ht="15.75" customHeight="1">
      <c r="A889" s="32"/>
      <c r="E889" s="1"/>
    </row>
    <row r="890" spans="1:5" ht="15.75" customHeight="1">
      <c r="A890" s="32"/>
      <c r="E890" s="1"/>
    </row>
    <row r="891" spans="1:5" ht="15.75" customHeight="1">
      <c r="A891" s="32"/>
      <c r="E891" s="1"/>
    </row>
    <row r="892" spans="1:5" ht="15.75" customHeight="1">
      <c r="A892" s="32"/>
      <c r="E892" s="1"/>
    </row>
    <row r="893" spans="1:5" ht="15.75" customHeight="1">
      <c r="A893" s="32"/>
      <c r="E893" s="1"/>
    </row>
    <row r="894" spans="1:5" ht="15.75" customHeight="1">
      <c r="A894" s="32"/>
      <c r="E894" s="1"/>
    </row>
    <row r="895" spans="1:5" ht="15.75" customHeight="1">
      <c r="A895" s="32"/>
      <c r="E895" s="1"/>
    </row>
    <row r="896" spans="1:5" ht="15.75" customHeight="1">
      <c r="A896" s="32"/>
      <c r="E896" s="1"/>
    </row>
    <row r="897" spans="1:5" ht="15.75" customHeight="1">
      <c r="A897" s="32"/>
      <c r="E897" s="1"/>
    </row>
    <row r="898" spans="1:5" ht="15.75" customHeight="1">
      <c r="A898" s="32"/>
      <c r="E898" s="1"/>
    </row>
    <row r="899" spans="1:5" ht="15.75" customHeight="1">
      <c r="A899" s="32"/>
      <c r="E899" s="1"/>
    </row>
    <row r="900" spans="1:5" ht="15.75" customHeight="1">
      <c r="A900" s="32"/>
      <c r="E900" s="1"/>
    </row>
    <row r="901" spans="1:5" ht="15.75" customHeight="1">
      <c r="A901" s="32"/>
      <c r="E901" s="1"/>
    </row>
    <row r="902" spans="1:5" ht="15.75" customHeight="1">
      <c r="A902" s="32"/>
      <c r="E902" s="1"/>
    </row>
    <row r="903" spans="1:5" ht="15.75" customHeight="1">
      <c r="A903" s="32"/>
      <c r="E903" s="1"/>
    </row>
    <row r="904" spans="1:5" ht="15.75" customHeight="1">
      <c r="A904" s="32"/>
      <c r="E904" s="1"/>
    </row>
    <row r="905" spans="1:5" ht="15.75" customHeight="1">
      <c r="A905" s="32"/>
      <c r="E905" s="1"/>
    </row>
    <row r="906" spans="1:5" ht="15.75" customHeight="1">
      <c r="A906" s="32"/>
      <c r="E906" s="1"/>
    </row>
    <row r="907" spans="1:5" ht="15.75" customHeight="1">
      <c r="A907" s="32"/>
      <c r="E907" s="1"/>
    </row>
    <row r="908" spans="1:5" ht="15.75" customHeight="1">
      <c r="A908" s="32"/>
      <c r="E908" s="1"/>
    </row>
    <row r="909" spans="1:5" ht="15.75" customHeight="1">
      <c r="A909" s="32"/>
      <c r="E909" s="1"/>
    </row>
    <row r="910" spans="1:5" ht="15.75" customHeight="1">
      <c r="A910" s="32"/>
      <c r="E910" s="1"/>
    </row>
    <row r="911" spans="1:5" ht="15.75" customHeight="1">
      <c r="A911" s="32"/>
      <c r="E911" s="1"/>
    </row>
    <row r="912" spans="1:5" ht="15.75" customHeight="1">
      <c r="A912" s="32"/>
      <c r="E912" s="1"/>
    </row>
    <row r="913" spans="1:5" ht="15.75" customHeight="1">
      <c r="A913" s="32"/>
      <c r="E913" s="1"/>
    </row>
    <row r="914" spans="1:5" ht="15.75" customHeight="1">
      <c r="A914" s="32"/>
      <c r="E914" s="1"/>
    </row>
    <row r="915" spans="1:5" ht="15.75" customHeight="1">
      <c r="A915" s="32"/>
      <c r="E915" s="1"/>
    </row>
    <row r="916" spans="1:5" ht="15.75" customHeight="1">
      <c r="A916" s="32"/>
      <c r="E916" s="1"/>
    </row>
    <row r="917" spans="1:5" ht="15.75" customHeight="1">
      <c r="A917" s="32"/>
      <c r="E917" s="1"/>
    </row>
    <row r="918" spans="1:5" ht="15.75" customHeight="1">
      <c r="A918" s="32"/>
      <c r="E918" s="1"/>
    </row>
    <row r="919" spans="1:5" ht="15.75" customHeight="1">
      <c r="A919" s="32"/>
      <c r="E919" s="1"/>
    </row>
    <row r="920" spans="1:5" ht="15.75" customHeight="1">
      <c r="A920" s="32"/>
      <c r="E920" s="1"/>
    </row>
    <row r="921" spans="1:5" ht="15.75" customHeight="1">
      <c r="A921" s="32"/>
      <c r="E921" s="1"/>
    </row>
    <row r="922" spans="1:5" ht="15.75" customHeight="1">
      <c r="A922" s="32"/>
      <c r="E922" s="1"/>
    </row>
    <row r="923" spans="1:5" ht="15.75" customHeight="1">
      <c r="A923" s="32"/>
      <c r="E923" s="1"/>
    </row>
    <row r="924" spans="1:5" ht="15.75" customHeight="1">
      <c r="A924" s="32"/>
      <c r="E924" s="1"/>
    </row>
    <row r="925" spans="1:5" ht="15.75" customHeight="1">
      <c r="A925" s="32"/>
      <c r="E925" s="1"/>
    </row>
    <row r="926" spans="1:5" ht="15.75" customHeight="1">
      <c r="A926" s="32"/>
      <c r="E926" s="1"/>
    </row>
    <row r="927" spans="1:5" ht="15.75" customHeight="1">
      <c r="A927" s="32"/>
      <c r="E927" s="1"/>
    </row>
    <row r="928" spans="1:5" ht="15.75" customHeight="1">
      <c r="A928" s="32"/>
      <c r="E928" s="1"/>
    </row>
    <row r="929" spans="1:5" ht="15.75" customHeight="1">
      <c r="A929" s="32"/>
      <c r="E929" s="1"/>
    </row>
    <row r="930" spans="1:5" ht="15.75" customHeight="1">
      <c r="A930" s="32"/>
      <c r="E930" s="1"/>
    </row>
    <row r="931" spans="1:5" ht="15.75" customHeight="1">
      <c r="A931" s="32"/>
      <c r="E931" s="1"/>
    </row>
    <row r="932" spans="1:5" ht="15.75" customHeight="1">
      <c r="A932" s="32"/>
      <c r="E932" s="1"/>
    </row>
    <row r="933" spans="1:5" ht="15.75" customHeight="1">
      <c r="A933" s="32"/>
      <c r="E933" s="1"/>
    </row>
    <row r="934" spans="1:5" ht="15.75" customHeight="1">
      <c r="A934" s="32"/>
      <c r="E934" s="1"/>
    </row>
    <row r="935" spans="1:5" ht="15.75" customHeight="1">
      <c r="A935" s="32"/>
      <c r="E935" s="1"/>
    </row>
    <row r="936" spans="1:5" ht="15.75" customHeight="1">
      <c r="A936" s="32"/>
      <c r="E936" s="1"/>
    </row>
    <row r="937" spans="1:5" ht="15.75" customHeight="1">
      <c r="A937" s="32"/>
      <c r="E937" s="1"/>
    </row>
    <row r="938" spans="1:5" ht="15.75" customHeight="1">
      <c r="A938" s="32"/>
      <c r="E938" s="1"/>
    </row>
    <row r="939" spans="1:5" ht="15.75" customHeight="1">
      <c r="A939" s="32"/>
      <c r="E939" s="1"/>
    </row>
    <row r="940" spans="1:5" ht="15.75" customHeight="1">
      <c r="A940" s="32"/>
      <c r="E940" s="1"/>
    </row>
    <row r="941" spans="1:5" ht="15.75" customHeight="1">
      <c r="A941" s="32"/>
      <c r="E941" s="1"/>
    </row>
    <row r="942" spans="1:5" ht="15.75" customHeight="1">
      <c r="A942" s="32"/>
      <c r="E942" s="1"/>
    </row>
    <row r="943" spans="1:5" ht="15.75" customHeight="1">
      <c r="A943" s="32"/>
      <c r="E943" s="1"/>
    </row>
    <row r="944" spans="1:5" ht="15.75" customHeight="1">
      <c r="A944" s="32"/>
      <c r="E944" s="1"/>
    </row>
    <row r="945" spans="1:5" ht="15.75" customHeight="1">
      <c r="A945" s="32"/>
      <c r="E945" s="1"/>
    </row>
    <row r="946" spans="1:5" ht="15.75" customHeight="1">
      <c r="A946" s="32"/>
      <c r="E946" s="1"/>
    </row>
    <row r="947" spans="1:5" ht="15.75" customHeight="1">
      <c r="A947" s="32"/>
      <c r="E947" s="1"/>
    </row>
    <row r="948" spans="1:5" ht="15.75" customHeight="1">
      <c r="A948" s="32"/>
      <c r="E948" s="1"/>
    </row>
    <row r="949" spans="1:5" ht="15.75" customHeight="1">
      <c r="A949" s="32"/>
      <c r="E949" s="1"/>
    </row>
    <row r="950" spans="1:5" ht="15.75" customHeight="1">
      <c r="A950" s="32"/>
      <c r="E950" s="1"/>
    </row>
    <row r="951" spans="1:5" ht="15.75" customHeight="1">
      <c r="A951" s="32"/>
      <c r="E951" s="1"/>
    </row>
    <row r="952" spans="1:5" ht="15.75" customHeight="1">
      <c r="A952" s="32"/>
      <c r="E952" s="1"/>
    </row>
    <row r="953" spans="1:5" ht="15.75" customHeight="1">
      <c r="A953" s="32"/>
      <c r="E953" s="1"/>
    </row>
    <row r="954" spans="1:5" ht="15.75" customHeight="1">
      <c r="A954" s="32"/>
      <c r="E954" s="1"/>
    </row>
    <row r="955" spans="1:5" ht="15.75" customHeight="1">
      <c r="A955" s="32"/>
      <c r="E955" s="1"/>
    </row>
    <row r="956" spans="1:5" ht="15.75" customHeight="1">
      <c r="A956" s="32"/>
      <c r="E956" s="1"/>
    </row>
    <row r="957" spans="1:5" ht="15.75" customHeight="1">
      <c r="A957" s="32"/>
      <c r="E957" s="1"/>
    </row>
    <row r="958" spans="1:5" ht="15.75" customHeight="1">
      <c r="A958" s="32"/>
      <c r="E958" s="1"/>
    </row>
    <row r="959" spans="1:5" ht="15.75" customHeight="1">
      <c r="A959" s="32"/>
      <c r="E959" s="1"/>
    </row>
    <row r="960" spans="1:5" ht="15.75" customHeight="1">
      <c r="A960" s="32"/>
      <c r="E960" s="1"/>
    </row>
    <row r="961" spans="1:5" ht="15.75" customHeight="1">
      <c r="A961" s="32"/>
      <c r="E961" s="1"/>
    </row>
    <row r="962" spans="1:5" ht="15.75" customHeight="1">
      <c r="A962" s="32"/>
      <c r="E962" s="1"/>
    </row>
    <row r="963" spans="1:5" ht="15.75" customHeight="1">
      <c r="A963" s="32"/>
      <c r="E963" s="1"/>
    </row>
    <row r="964" spans="1:5" ht="15.75" customHeight="1">
      <c r="A964" s="32"/>
      <c r="E964" s="1"/>
    </row>
    <row r="965" spans="1:5" ht="15.75" customHeight="1">
      <c r="A965" s="32"/>
      <c r="E965" s="1"/>
    </row>
    <row r="966" spans="1:5" ht="15.75" customHeight="1">
      <c r="A966" s="32"/>
      <c r="E966" s="1"/>
    </row>
    <row r="967" spans="1:5" ht="15.75" customHeight="1">
      <c r="A967" s="32"/>
      <c r="E967" s="1"/>
    </row>
    <row r="968" spans="1:5" ht="15.75" customHeight="1">
      <c r="A968" s="32"/>
      <c r="E968" s="1"/>
    </row>
    <row r="969" spans="1:5" ht="15.75" customHeight="1">
      <c r="A969" s="32"/>
      <c r="E969" s="1"/>
    </row>
    <row r="970" spans="1:5" ht="15.75" customHeight="1">
      <c r="A970" s="32"/>
      <c r="E970" s="1"/>
    </row>
    <row r="971" spans="1:5" ht="15.75" customHeight="1">
      <c r="A971" s="32"/>
      <c r="E971" s="1"/>
    </row>
    <row r="972" spans="1:5" ht="15.75" customHeight="1">
      <c r="A972" s="32"/>
      <c r="E972" s="1"/>
    </row>
    <row r="973" spans="1:5" ht="15.75" customHeight="1">
      <c r="A973" s="32"/>
      <c r="E973" s="1"/>
    </row>
    <row r="974" spans="1:5" ht="15.75" customHeight="1">
      <c r="A974" s="32"/>
      <c r="E974" s="1"/>
    </row>
    <row r="975" spans="1:5" ht="15.75" customHeight="1">
      <c r="A975" s="32"/>
      <c r="E975" s="1"/>
    </row>
    <row r="976" spans="1:5" ht="15.75" customHeight="1">
      <c r="A976" s="32"/>
      <c r="E976" s="1"/>
    </row>
    <row r="977" spans="1:5" ht="15.75" customHeight="1">
      <c r="A977" s="32"/>
      <c r="E977" s="1"/>
    </row>
    <row r="978" spans="1:5" ht="15.75" customHeight="1">
      <c r="A978" s="32"/>
      <c r="E978" s="1"/>
    </row>
    <row r="979" spans="1:5" ht="15.75" customHeight="1">
      <c r="A979" s="32"/>
      <c r="E979" s="1"/>
    </row>
    <row r="980" spans="1:5" ht="15.75" customHeight="1">
      <c r="A980" s="32"/>
      <c r="E980" s="1"/>
    </row>
    <row r="981" spans="1:5" ht="15.75" customHeight="1">
      <c r="A981" s="32"/>
      <c r="E981" s="1"/>
    </row>
    <row r="982" spans="1:5" ht="15.75" customHeight="1">
      <c r="A982" s="32"/>
      <c r="E982" s="1"/>
    </row>
    <row r="983" spans="1:5" ht="15.75" customHeight="1">
      <c r="A983" s="32"/>
      <c r="E983" s="1"/>
    </row>
    <row r="984" spans="1:5" ht="15.75" customHeight="1">
      <c r="A984" s="32"/>
      <c r="E984" s="1"/>
    </row>
    <row r="985" spans="1:5" ht="15.75" customHeight="1">
      <c r="A985" s="32"/>
      <c r="E985" s="1"/>
    </row>
    <row r="986" spans="1:5" ht="15.75" customHeight="1">
      <c r="A986" s="32"/>
      <c r="E986" s="1"/>
    </row>
    <row r="987" spans="1:5" ht="15.75" customHeight="1">
      <c r="A987" s="32"/>
      <c r="E987" s="1"/>
    </row>
    <row r="988" spans="1:5" ht="15.75" customHeight="1">
      <c r="A988" s="32"/>
      <c r="E988" s="1"/>
    </row>
    <row r="989" spans="1:5" ht="15.75" customHeight="1">
      <c r="A989" s="32"/>
      <c r="E989" s="1"/>
    </row>
    <row r="990" spans="1:5" ht="15.75" customHeight="1">
      <c r="A990" s="32"/>
      <c r="E990" s="1"/>
    </row>
    <row r="991" spans="1:5" ht="15.75" customHeight="1">
      <c r="A991" s="32"/>
      <c r="E991" s="1"/>
    </row>
    <row r="992" spans="1:5" ht="15.75" customHeight="1">
      <c r="A992" s="32"/>
      <c r="E992" s="1"/>
    </row>
    <row r="993" spans="1:5" ht="15.75" customHeight="1">
      <c r="A993" s="32"/>
      <c r="E993" s="1"/>
    </row>
    <row r="994" spans="1:5" ht="15.75" customHeight="1">
      <c r="A994" s="32"/>
      <c r="E994" s="1"/>
    </row>
    <row r="995" spans="1:5" ht="15.75" customHeight="1">
      <c r="A995" s="32"/>
      <c r="E995" s="1"/>
    </row>
    <row r="996" spans="1:5" ht="15.75" customHeight="1">
      <c r="A996" s="32"/>
      <c r="E996" s="1"/>
    </row>
    <row r="997" spans="1:5" ht="15.75" customHeight="1">
      <c r="A997" s="32"/>
      <c r="E997" s="1"/>
    </row>
    <row r="998" spans="1:5" ht="15.75" customHeight="1">
      <c r="A998" s="32"/>
      <c r="E998" s="1"/>
    </row>
    <row r="999" spans="1:5" ht="15.75" customHeight="1">
      <c r="A999" s="32"/>
      <c r="E999" s="1"/>
    </row>
    <row r="1000" spans="1:5" ht="15.75" customHeight="1">
      <c r="A1000" s="32"/>
      <c r="E1000" s="1"/>
    </row>
  </sheetData>
  <autoFilter ref="A2:M237"/>
  <mergeCells count="1">
    <mergeCell ref="A1:L1"/>
  </mergeCells>
  <pageMargins left="0.511811024" right="0.511811024" top="0.78740157499999996" bottom="0.78740157499999996" header="0" footer="0"/>
  <pageSetup paperSize="9" scale="54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000"/>
  <sheetViews>
    <sheetView workbookViewId="0"/>
  </sheetViews>
  <sheetFormatPr defaultColWidth="14.42578125" defaultRowHeight="15" customHeight="1"/>
  <cols>
    <col min="1" max="1" width="10.7109375" customWidth="1"/>
    <col min="2" max="2" width="16.42578125" customWidth="1"/>
    <col min="3" max="3" width="49.28515625" customWidth="1"/>
    <col min="4" max="4" width="8.7109375" customWidth="1"/>
    <col min="5" max="5" width="10.140625" customWidth="1"/>
    <col min="6" max="6" width="11.7109375" customWidth="1"/>
    <col min="7" max="7" width="10.7109375" customWidth="1"/>
    <col min="8" max="26" width="8.7109375" customWidth="1"/>
  </cols>
  <sheetData>
    <row r="1" spans="1:9" ht="18.75">
      <c r="A1" s="269" t="s">
        <v>0</v>
      </c>
      <c r="B1" s="270"/>
      <c r="C1" s="270"/>
      <c r="D1" s="270"/>
      <c r="E1" s="270"/>
      <c r="F1" s="270"/>
      <c r="G1" s="270"/>
      <c r="H1" s="270"/>
      <c r="I1" s="1"/>
    </row>
    <row r="2" spans="1:9" ht="45">
      <c r="A2" s="2" t="s">
        <v>1</v>
      </c>
      <c r="B2" s="3" t="s">
        <v>2</v>
      </c>
      <c r="C2" s="4" t="s">
        <v>4</v>
      </c>
      <c r="D2" s="3" t="s">
        <v>6</v>
      </c>
      <c r="E2" s="5" t="s">
        <v>7</v>
      </c>
      <c r="F2" s="6" t="s">
        <v>8</v>
      </c>
      <c r="G2" s="2" t="s">
        <v>9</v>
      </c>
      <c r="H2" s="3" t="s">
        <v>10</v>
      </c>
      <c r="I2" s="1"/>
    </row>
    <row r="3" spans="1:9">
      <c r="A3" s="7">
        <v>46042</v>
      </c>
      <c r="B3" s="9" t="s">
        <v>13</v>
      </c>
      <c r="C3" s="11" t="s">
        <v>16</v>
      </c>
      <c r="D3" s="13">
        <v>9990</v>
      </c>
      <c r="E3" s="15">
        <v>1.3899999999999999E-2</v>
      </c>
      <c r="F3" s="17">
        <v>138.86099999999999</v>
      </c>
      <c r="G3" s="19">
        <v>46049</v>
      </c>
      <c r="H3" s="9">
        <v>280</v>
      </c>
      <c r="I3" s="20" t="s">
        <v>19</v>
      </c>
    </row>
    <row r="4" spans="1:9">
      <c r="A4" s="8">
        <v>46042</v>
      </c>
      <c r="B4" s="21" t="s">
        <v>13</v>
      </c>
      <c r="C4" s="11" t="s">
        <v>20</v>
      </c>
      <c r="D4" s="23">
        <v>500</v>
      </c>
      <c r="E4" s="27">
        <v>0.1439</v>
      </c>
      <c r="F4" s="29">
        <v>71.95</v>
      </c>
      <c r="G4" s="31">
        <v>46049</v>
      </c>
      <c r="H4" s="21">
        <v>286</v>
      </c>
      <c r="I4" s="20" t="s">
        <v>19</v>
      </c>
    </row>
    <row r="5" spans="1:9">
      <c r="A5" s="32">
        <v>46084</v>
      </c>
      <c r="B5" s="1" t="s">
        <v>24</v>
      </c>
      <c r="C5" s="25" t="s">
        <v>25</v>
      </c>
      <c r="D5" s="26">
        <v>6000</v>
      </c>
      <c r="E5" s="28">
        <v>6.7000000000000004E-2</v>
      </c>
      <c r="F5" s="30">
        <v>402</v>
      </c>
      <c r="G5" s="22">
        <v>46092</v>
      </c>
      <c r="H5" s="24">
        <v>1393</v>
      </c>
      <c r="I5" s="1" t="s">
        <v>27</v>
      </c>
    </row>
    <row r="6" spans="1:9">
      <c r="A6" s="8">
        <v>46157</v>
      </c>
      <c r="B6" s="10" t="s">
        <v>28</v>
      </c>
      <c r="C6" s="33" t="s">
        <v>29</v>
      </c>
      <c r="D6" s="34">
        <v>200</v>
      </c>
      <c r="E6" s="16">
        <v>0.34</v>
      </c>
      <c r="F6" s="18">
        <v>68</v>
      </c>
      <c r="G6" s="8">
        <v>46184</v>
      </c>
      <c r="H6" s="10">
        <v>3135</v>
      </c>
      <c r="I6" s="1" t="s">
        <v>30</v>
      </c>
    </row>
    <row r="7" spans="1:9">
      <c r="A7" s="35">
        <v>46157</v>
      </c>
      <c r="B7" s="36" t="s">
        <v>32</v>
      </c>
      <c r="C7" s="37" t="s">
        <v>33</v>
      </c>
      <c r="D7" s="38">
        <v>10</v>
      </c>
      <c r="E7" s="39">
        <v>22</v>
      </c>
      <c r="F7" s="40">
        <v>220</v>
      </c>
      <c r="G7" s="35">
        <v>46163</v>
      </c>
      <c r="H7" s="36">
        <v>3143</v>
      </c>
      <c r="I7" s="1" t="s">
        <v>30</v>
      </c>
    </row>
    <row r="8" spans="1:9">
      <c r="A8" s="41">
        <v>46157</v>
      </c>
      <c r="B8" s="24" t="s">
        <v>32</v>
      </c>
      <c r="C8" s="42" t="s">
        <v>34</v>
      </c>
      <c r="D8" s="26">
        <v>1000</v>
      </c>
      <c r="E8" s="28">
        <v>0.28000000000000003</v>
      </c>
      <c r="F8" s="30">
        <v>280</v>
      </c>
      <c r="G8" s="22">
        <v>46163</v>
      </c>
      <c r="H8" s="24">
        <v>3147</v>
      </c>
      <c r="I8" s="1"/>
    </row>
    <row r="9" spans="1:9">
      <c r="A9" s="43">
        <v>46157</v>
      </c>
      <c r="B9" s="44" t="s">
        <v>32</v>
      </c>
      <c r="C9" s="45" t="s">
        <v>35</v>
      </c>
      <c r="D9" s="47">
        <v>50</v>
      </c>
      <c r="E9" s="48">
        <v>5</v>
      </c>
      <c r="F9" s="49">
        <v>250</v>
      </c>
      <c r="G9" s="43">
        <v>46163</v>
      </c>
      <c r="H9" s="44">
        <v>3149</v>
      </c>
      <c r="I9" s="1"/>
    </row>
    <row r="10" spans="1:9">
      <c r="A10" s="32">
        <v>46157</v>
      </c>
      <c r="B10" s="1" t="s">
        <v>32</v>
      </c>
      <c r="C10" s="33" t="s">
        <v>37</v>
      </c>
      <c r="D10" s="51">
        <v>20</v>
      </c>
      <c r="E10" s="52">
        <v>4.24</v>
      </c>
      <c r="F10" s="54">
        <v>84.8</v>
      </c>
      <c r="G10" s="32">
        <v>46163</v>
      </c>
      <c r="H10" s="1">
        <v>3150</v>
      </c>
      <c r="I10" s="1"/>
    </row>
    <row r="11" spans="1:9">
      <c r="A11" s="56">
        <v>46157</v>
      </c>
      <c r="B11" s="58" t="s">
        <v>32</v>
      </c>
      <c r="C11" s="60" t="s">
        <v>41</v>
      </c>
      <c r="D11" s="61">
        <v>100</v>
      </c>
      <c r="E11" s="62">
        <v>8.2000000000000003E-2</v>
      </c>
      <c r="F11" s="63">
        <v>82</v>
      </c>
      <c r="G11" s="56">
        <v>46163</v>
      </c>
      <c r="H11" s="58">
        <v>3150</v>
      </c>
      <c r="I11" s="1"/>
    </row>
    <row r="12" spans="1:9">
      <c r="A12" s="35">
        <v>46157</v>
      </c>
      <c r="B12" s="36" t="s">
        <v>45</v>
      </c>
      <c r="C12" s="37" t="s">
        <v>46</v>
      </c>
      <c r="D12" s="38">
        <v>8400</v>
      </c>
      <c r="E12" s="39">
        <v>4.58E-2</v>
      </c>
      <c r="F12" s="40">
        <v>384.72</v>
      </c>
      <c r="G12" s="35">
        <v>46164</v>
      </c>
      <c r="H12" s="36">
        <v>3121</v>
      </c>
      <c r="I12" s="1" t="s">
        <v>30</v>
      </c>
    </row>
    <row r="13" spans="1:9">
      <c r="A13" s="50">
        <v>46157</v>
      </c>
      <c r="B13" s="1" t="s">
        <v>45</v>
      </c>
      <c r="C13" s="64" t="s">
        <v>47</v>
      </c>
      <c r="D13" s="55">
        <v>100</v>
      </c>
      <c r="E13" s="57">
        <v>2.6135999999999999</v>
      </c>
      <c r="F13" s="59">
        <v>261.36</v>
      </c>
      <c r="G13" s="50">
        <v>46164</v>
      </c>
      <c r="H13" s="53">
        <v>3124</v>
      </c>
      <c r="I13" s="1" t="s">
        <v>30</v>
      </c>
    </row>
    <row r="14" spans="1:9">
      <c r="A14" s="41">
        <v>46157</v>
      </c>
      <c r="B14" s="24" t="s">
        <v>49</v>
      </c>
      <c r="C14" s="65" t="s">
        <v>50</v>
      </c>
      <c r="D14" s="26">
        <v>3000</v>
      </c>
      <c r="E14" s="28">
        <v>3.5099999999999999E-2</v>
      </c>
      <c r="F14" s="30">
        <v>105.3</v>
      </c>
      <c r="G14" s="22">
        <v>46164</v>
      </c>
      <c r="H14" s="24">
        <v>3131</v>
      </c>
      <c r="I14" s="1" t="s">
        <v>51</v>
      </c>
    </row>
    <row r="15" spans="1:9">
      <c r="A15" s="22">
        <v>46157</v>
      </c>
      <c r="B15" s="24" t="s">
        <v>49</v>
      </c>
      <c r="C15" s="65" t="s">
        <v>53</v>
      </c>
      <c r="D15" s="26">
        <v>800</v>
      </c>
      <c r="E15" s="28">
        <v>0.41360000000000002</v>
      </c>
      <c r="F15" s="30">
        <v>330.88</v>
      </c>
      <c r="G15" s="22">
        <v>46164</v>
      </c>
      <c r="H15" s="24">
        <v>3131</v>
      </c>
      <c r="I15" s="1"/>
    </row>
    <row r="16" spans="1:9">
      <c r="A16" s="43">
        <v>46157</v>
      </c>
      <c r="B16" s="44" t="s">
        <v>49</v>
      </c>
      <c r="C16" s="68" t="s">
        <v>56</v>
      </c>
      <c r="D16" s="47">
        <v>50</v>
      </c>
      <c r="E16" s="48">
        <v>3.5114000000000001</v>
      </c>
      <c r="F16" s="49">
        <v>175.57</v>
      </c>
      <c r="G16" s="43">
        <v>46164</v>
      </c>
      <c r="H16" s="44">
        <v>3131</v>
      </c>
      <c r="I16" s="69"/>
    </row>
    <row r="17" spans="1:9">
      <c r="A17" s="70">
        <v>46217</v>
      </c>
      <c r="B17" s="71" t="s">
        <v>60</v>
      </c>
      <c r="C17" s="72" t="s">
        <v>61</v>
      </c>
      <c r="D17" s="73">
        <v>2490</v>
      </c>
      <c r="E17" s="74">
        <v>0.34</v>
      </c>
      <c r="F17" s="75">
        <v>846.6</v>
      </c>
      <c r="G17" s="70">
        <v>46225</v>
      </c>
      <c r="H17" s="71">
        <v>4259</v>
      </c>
      <c r="I17" s="1"/>
    </row>
    <row r="18" spans="1:9">
      <c r="A18" s="56">
        <v>46217</v>
      </c>
      <c r="B18" s="58" t="s">
        <v>60</v>
      </c>
      <c r="C18" s="60" t="s">
        <v>65</v>
      </c>
      <c r="D18" s="61">
        <v>3000</v>
      </c>
      <c r="E18" s="62">
        <v>0.14910000000000001</v>
      </c>
      <c r="F18" s="63">
        <v>447.3</v>
      </c>
      <c r="G18" s="56">
        <v>46225</v>
      </c>
      <c r="H18" s="58">
        <v>4262</v>
      </c>
      <c r="I18" s="1"/>
    </row>
    <row r="19" spans="1:9">
      <c r="A19" s="22">
        <v>46217</v>
      </c>
      <c r="B19" s="24" t="s">
        <v>66</v>
      </c>
      <c r="C19" s="78" t="s">
        <v>67</v>
      </c>
      <c r="D19" s="26">
        <v>1000</v>
      </c>
      <c r="E19" s="28">
        <v>0.05</v>
      </c>
      <c r="F19" s="30">
        <v>50</v>
      </c>
      <c r="G19" s="22">
        <v>46225</v>
      </c>
      <c r="H19" s="24">
        <v>4270</v>
      </c>
      <c r="I19" s="1"/>
    </row>
    <row r="20" spans="1:9">
      <c r="A20" s="43">
        <v>46217</v>
      </c>
      <c r="B20" s="44" t="s">
        <v>66</v>
      </c>
      <c r="C20" s="79" t="s">
        <v>72</v>
      </c>
      <c r="D20" s="47">
        <v>50</v>
      </c>
      <c r="E20" s="48">
        <v>1.04</v>
      </c>
      <c r="F20" s="49">
        <v>52</v>
      </c>
      <c r="G20" s="43">
        <v>46225</v>
      </c>
      <c r="H20" s="44">
        <v>4270</v>
      </c>
      <c r="I20" s="1"/>
    </row>
    <row r="21" spans="1:9" ht="15.75" customHeight="1">
      <c r="A21" s="81">
        <v>46217</v>
      </c>
      <c r="B21" s="83" t="s">
        <v>74</v>
      </c>
      <c r="C21" s="85" t="s">
        <v>77</v>
      </c>
      <c r="D21" s="87">
        <v>3000</v>
      </c>
      <c r="E21" s="89">
        <v>0.51029999999999998</v>
      </c>
      <c r="F21" s="90">
        <v>1530.8999999999999</v>
      </c>
      <c r="G21" s="81">
        <v>46225</v>
      </c>
      <c r="H21" s="83">
        <v>4231</v>
      </c>
      <c r="I21" s="1"/>
    </row>
    <row r="22" spans="1:9" ht="15.75" customHeight="1">
      <c r="A22" s="50">
        <v>46217</v>
      </c>
      <c r="B22" s="53" t="s">
        <v>74</v>
      </c>
      <c r="C22" s="92" t="s">
        <v>79</v>
      </c>
      <c r="D22" s="93">
        <v>5000</v>
      </c>
      <c r="E22" s="94">
        <v>0.2465</v>
      </c>
      <c r="F22" s="59">
        <v>1232.5</v>
      </c>
      <c r="G22" s="50">
        <v>46225</v>
      </c>
      <c r="H22" s="53">
        <v>4233</v>
      </c>
      <c r="I22" s="1"/>
    </row>
    <row r="23" spans="1:9" ht="15.75" customHeight="1">
      <c r="A23" s="22">
        <v>46217</v>
      </c>
      <c r="B23" s="24" t="s">
        <v>74</v>
      </c>
      <c r="C23" s="96" t="s">
        <v>84</v>
      </c>
      <c r="D23" s="97">
        <v>1800</v>
      </c>
      <c r="E23" s="98">
        <v>0.69320000000000004</v>
      </c>
      <c r="F23" s="30">
        <v>1247.76</v>
      </c>
      <c r="G23" s="22">
        <v>46225</v>
      </c>
      <c r="H23" s="24">
        <v>4238</v>
      </c>
      <c r="I23" s="1"/>
    </row>
    <row r="24" spans="1:9" ht="15.75" customHeight="1">
      <c r="A24" s="43">
        <v>46217</v>
      </c>
      <c r="B24" s="44" t="s">
        <v>74</v>
      </c>
      <c r="C24" s="99" t="s">
        <v>88</v>
      </c>
      <c r="D24" s="100">
        <v>3600</v>
      </c>
      <c r="E24" s="101">
        <v>6.59E-2</v>
      </c>
      <c r="F24" s="49">
        <v>237.24</v>
      </c>
      <c r="G24" s="43">
        <v>46225</v>
      </c>
      <c r="H24" s="44">
        <v>4238</v>
      </c>
      <c r="I24" s="1"/>
    </row>
    <row r="25" spans="1:9" ht="15.75" customHeight="1">
      <c r="A25" s="50">
        <v>46217</v>
      </c>
      <c r="B25" s="53" t="s">
        <v>74</v>
      </c>
      <c r="C25" s="92" t="s">
        <v>90</v>
      </c>
      <c r="D25" s="93">
        <v>3000</v>
      </c>
      <c r="E25" s="94">
        <v>0.88290000000000002</v>
      </c>
      <c r="F25" s="59">
        <v>2648.7000000000003</v>
      </c>
      <c r="G25" s="50">
        <v>46225</v>
      </c>
      <c r="H25" s="53">
        <v>4268</v>
      </c>
      <c r="I25" s="1"/>
    </row>
    <row r="26" spans="1:9" ht="15.75" customHeight="1">
      <c r="A26" s="22">
        <v>46217</v>
      </c>
      <c r="B26" s="24" t="s">
        <v>74</v>
      </c>
      <c r="C26" s="96" t="s">
        <v>92</v>
      </c>
      <c r="D26" s="97">
        <v>150</v>
      </c>
      <c r="E26" s="98">
        <v>5.5243000000000002</v>
      </c>
      <c r="F26" s="30">
        <v>828.64499999999998</v>
      </c>
      <c r="G26" s="22">
        <v>46225</v>
      </c>
      <c r="H26" s="24">
        <v>4241</v>
      </c>
      <c r="I26" s="1"/>
    </row>
    <row r="27" spans="1:9" ht="15.75" customHeight="1">
      <c r="A27" s="43">
        <v>46217</v>
      </c>
      <c r="B27" s="44" t="s">
        <v>74</v>
      </c>
      <c r="C27" s="99" t="s">
        <v>94</v>
      </c>
      <c r="D27" s="100">
        <v>1000</v>
      </c>
      <c r="E27" s="101">
        <v>0.64080000000000004</v>
      </c>
      <c r="F27" s="49">
        <v>640.80000000000007</v>
      </c>
      <c r="G27" s="43">
        <v>46225</v>
      </c>
      <c r="H27" s="44">
        <v>4241</v>
      </c>
      <c r="I27" s="1"/>
    </row>
    <row r="28" spans="1:9" ht="15.75" customHeight="1">
      <c r="A28" s="104">
        <v>46217</v>
      </c>
      <c r="B28" s="105" t="s">
        <v>74</v>
      </c>
      <c r="C28" s="106" t="s">
        <v>97</v>
      </c>
      <c r="D28" s="108">
        <v>2500</v>
      </c>
      <c r="E28" s="111">
        <v>0.18160000000000001</v>
      </c>
      <c r="F28" s="113">
        <v>454.00000000000006</v>
      </c>
      <c r="G28" s="104">
        <v>46225</v>
      </c>
      <c r="H28" s="105">
        <v>4242</v>
      </c>
      <c r="I28" s="1"/>
    </row>
    <row r="29" spans="1:9" ht="15.75" customHeight="1">
      <c r="A29" s="22">
        <v>46217</v>
      </c>
      <c r="B29" s="24" t="s">
        <v>100</v>
      </c>
      <c r="C29" s="96" t="s">
        <v>101</v>
      </c>
      <c r="D29" s="97">
        <v>200</v>
      </c>
      <c r="E29" s="98">
        <v>1.4659</v>
      </c>
      <c r="F29" s="30">
        <v>293.18</v>
      </c>
      <c r="G29" s="22">
        <v>46225</v>
      </c>
      <c r="H29" s="24">
        <v>4267</v>
      </c>
      <c r="I29" s="1"/>
    </row>
    <row r="30" spans="1:9" ht="15.75" customHeight="1">
      <c r="A30" s="114">
        <v>46217</v>
      </c>
      <c r="B30" s="115" t="s">
        <v>100</v>
      </c>
      <c r="C30" s="116" t="s">
        <v>102</v>
      </c>
      <c r="D30" s="117">
        <v>2000</v>
      </c>
      <c r="E30" s="118">
        <v>0.1193</v>
      </c>
      <c r="F30" s="120">
        <v>238.6</v>
      </c>
      <c r="G30" s="114">
        <v>46225</v>
      </c>
      <c r="H30" s="115">
        <v>4267</v>
      </c>
      <c r="I30" s="69"/>
    </row>
    <row r="31" spans="1:9" ht="15.75" customHeight="1">
      <c r="A31" s="32">
        <v>46246</v>
      </c>
      <c r="B31" s="1" t="s">
        <v>104</v>
      </c>
      <c r="C31" s="121" t="s">
        <v>105</v>
      </c>
      <c r="D31" s="122">
        <v>2000</v>
      </c>
      <c r="E31" s="123">
        <v>6.5000000000000002E-2</v>
      </c>
      <c r="F31" s="54">
        <v>130</v>
      </c>
      <c r="G31" s="32"/>
      <c r="H31" s="1"/>
      <c r="I31" s="1"/>
    </row>
    <row r="32" spans="1:9" ht="15.75" customHeight="1">
      <c r="A32" s="32">
        <v>46246</v>
      </c>
      <c r="B32" s="1"/>
      <c r="C32" s="121" t="s">
        <v>106</v>
      </c>
      <c r="D32" s="122">
        <v>5000</v>
      </c>
      <c r="E32" s="123">
        <v>6.5000000000000002E-2</v>
      </c>
      <c r="F32" s="54">
        <v>325</v>
      </c>
      <c r="G32" s="32"/>
      <c r="H32" s="1"/>
      <c r="I32" s="1"/>
    </row>
    <row r="33" spans="1:9" ht="15.75" customHeight="1">
      <c r="A33" s="8">
        <v>46246</v>
      </c>
      <c r="B33" s="10"/>
      <c r="C33" s="125" t="s">
        <v>108</v>
      </c>
      <c r="D33" s="126">
        <v>7000</v>
      </c>
      <c r="E33" s="127">
        <v>6.5000000000000002E-2</v>
      </c>
      <c r="F33" s="18">
        <v>455</v>
      </c>
      <c r="G33" s="8"/>
      <c r="H33" s="10"/>
      <c r="I33" s="1"/>
    </row>
    <row r="34" spans="1:9" ht="15.75" customHeight="1">
      <c r="A34" s="32">
        <v>46246</v>
      </c>
      <c r="B34" s="1"/>
      <c r="C34" s="121" t="s">
        <v>112</v>
      </c>
      <c r="D34" s="122">
        <v>1800</v>
      </c>
      <c r="E34" s="123">
        <v>0.38169999999999998</v>
      </c>
      <c r="F34" s="54">
        <v>687.06</v>
      </c>
      <c r="G34" s="32"/>
      <c r="H34" s="1"/>
      <c r="I34" s="1"/>
    </row>
    <row r="35" spans="1:9" ht="15.75" customHeight="1">
      <c r="A35" s="8">
        <v>46246</v>
      </c>
      <c r="B35" s="10"/>
      <c r="C35" s="125" t="s">
        <v>115</v>
      </c>
      <c r="D35" s="126">
        <v>4500</v>
      </c>
      <c r="E35" s="127">
        <v>0.59740000000000004</v>
      </c>
      <c r="F35" s="18">
        <v>2688.3</v>
      </c>
      <c r="G35" s="8"/>
      <c r="H35" s="10"/>
      <c r="I35" s="1"/>
    </row>
    <row r="36" spans="1:9" ht="15.75" customHeight="1">
      <c r="A36" s="32">
        <v>46246</v>
      </c>
      <c r="B36" s="1"/>
      <c r="C36" s="121" t="s">
        <v>117</v>
      </c>
      <c r="D36" s="122">
        <v>30</v>
      </c>
      <c r="E36" s="123">
        <v>7.9024000000000001</v>
      </c>
      <c r="F36" s="54">
        <v>237.072</v>
      </c>
      <c r="G36" s="32"/>
      <c r="H36" s="1"/>
      <c r="I36" s="1"/>
    </row>
    <row r="37" spans="1:9" ht="15.75" customHeight="1">
      <c r="A37" s="8">
        <v>46246</v>
      </c>
      <c r="B37" s="10"/>
      <c r="C37" s="125" t="s">
        <v>119</v>
      </c>
      <c r="D37" s="126">
        <v>100</v>
      </c>
      <c r="E37" s="127">
        <v>5.0909000000000004</v>
      </c>
      <c r="F37" s="18">
        <v>509.09000000000003</v>
      </c>
      <c r="G37" s="8"/>
      <c r="H37" s="10"/>
      <c r="I37" s="1"/>
    </row>
    <row r="38" spans="1:9" ht="15.75" customHeight="1">
      <c r="A38" s="32">
        <v>46246</v>
      </c>
      <c r="B38" s="1"/>
      <c r="C38" s="121" t="s">
        <v>122</v>
      </c>
      <c r="D38" s="122">
        <v>12000</v>
      </c>
      <c r="E38" s="123">
        <v>3.4799999999999998E-2</v>
      </c>
      <c r="F38" s="54">
        <v>417.59999999999997</v>
      </c>
      <c r="G38" s="32"/>
      <c r="H38" s="1"/>
      <c r="I38" s="1"/>
    </row>
    <row r="39" spans="1:9" ht="15.75" customHeight="1">
      <c r="A39" s="32">
        <v>46246</v>
      </c>
      <c r="B39" s="1"/>
      <c r="C39" s="121" t="s">
        <v>123</v>
      </c>
      <c r="D39" s="51">
        <v>6000</v>
      </c>
      <c r="E39" s="123">
        <v>3.5499999999999997E-2</v>
      </c>
      <c r="F39" s="54">
        <v>212.99999999999997</v>
      </c>
      <c r="G39" s="32"/>
      <c r="H39" s="1"/>
      <c r="I39" s="1"/>
    </row>
    <row r="40" spans="1:9" ht="15.75" customHeight="1">
      <c r="A40" s="32">
        <v>46246</v>
      </c>
      <c r="B40" s="1"/>
      <c r="C40" s="121" t="s">
        <v>123</v>
      </c>
      <c r="D40" s="51">
        <v>6000</v>
      </c>
      <c r="E40" s="123">
        <v>3.5499999999999997E-2</v>
      </c>
      <c r="F40" s="54">
        <v>212.99999999999997</v>
      </c>
      <c r="G40" s="32"/>
      <c r="H40" s="1"/>
      <c r="I40" s="1"/>
    </row>
    <row r="41" spans="1:9" ht="15.75" customHeight="1">
      <c r="A41" s="8">
        <v>46246</v>
      </c>
      <c r="B41" s="10"/>
      <c r="C41" s="125" t="s">
        <v>124</v>
      </c>
      <c r="D41" s="126">
        <v>9990</v>
      </c>
      <c r="E41" s="127">
        <v>7.8E-2</v>
      </c>
      <c r="F41" s="18">
        <v>779.22</v>
      </c>
      <c r="G41" s="8"/>
      <c r="H41" s="10"/>
      <c r="I41" s="1"/>
    </row>
    <row r="42" spans="1:9" ht="15.75" customHeight="1">
      <c r="A42" s="32">
        <v>46246</v>
      </c>
      <c r="B42" s="1"/>
      <c r="C42" s="121" t="s">
        <v>125</v>
      </c>
      <c r="D42" s="122">
        <v>15000</v>
      </c>
      <c r="E42" s="123">
        <v>0.15010000000000001</v>
      </c>
      <c r="F42" s="54">
        <v>2251.5</v>
      </c>
      <c r="G42" s="32"/>
      <c r="H42" s="1"/>
      <c r="I42" s="1"/>
    </row>
    <row r="43" spans="1:9" ht="15.75" customHeight="1">
      <c r="A43" s="8">
        <v>46246</v>
      </c>
      <c r="B43" s="10"/>
      <c r="C43" s="125" t="s">
        <v>126</v>
      </c>
      <c r="D43" s="126">
        <v>6000</v>
      </c>
      <c r="E43" s="127">
        <v>0.1166</v>
      </c>
      <c r="F43" s="18">
        <v>699.6</v>
      </c>
      <c r="G43" s="8"/>
      <c r="H43" s="10"/>
      <c r="I43" s="1"/>
    </row>
    <row r="44" spans="1:9" ht="15.75" customHeight="1">
      <c r="A44" s="131">
        <v>46246</v>
      </c>
      <c r="B44" s="132"/>
      <c r="C44" s="133" t="s">
        <v>129</v>
      </c>
      <c r="D44" s="134">
        <v>50</v>
      </c>
      <c r="E44" s="135">
        <v>5.6477000000000004</v>
      </c>
      <c r="F44" s="136">
        <v>282.38499999999999</v>
      </c>
      <c r="G44" s="131"/>
      <c r="H44" s="132"/>
      <c r="I44" s="1"/>
    </row>
    <row r="45" spans="1:9" ht="15.75" customHeight="1">
      <c r="A45" s="8">
        <v>46246</v>
      </c>
      <c r="B45" s="10" t="s">
        <v>130</v>
      </c>
      <c r="C45" s="125" t="s">
        <v>131</v>
      </c>
      <c r="D45" s="126">
        <v>40</v>
      </c>
      <c r="E45" s="127">
        <v>5.3658000000000001</v>
      </c>
      <c r="F45" s="18">
        <v>214.63200000000001</v>
      </c>
      <c r="G45" s="8"/>
      <c r="H45" s="10"/>
      <c r="I45" s="1"/>
    </row>
    <row r="46" spans="1:9" ht="15.75" customHeight="1">
      <c r="A46" s="32">
        <v>46246</v>
      </c>
      <c r="B46" s="1"/>
      <c r="C46" s="121" t="s">
        <v>132</v>
      </c>
      <c r="D46" s="122">
        <v>720</v>
      </c>
      <c r="E46" s="123">
        <v>5.2999999999999999E-2</v>
      </c>
      <c r="F46" s="54">
        <v>38.159999999999997</v>
      </c>
      <c r="G46" s="32"/>
      <c r="H46" s="1"/>
      <c r="I46" s="1"/>
    </row>
    <row r="47" spans="1:9" ht="15.75" customHeight="1">
      <c r="A47" s="8">
        <v>46246</v>
      </c>
      <c r="B47" s="10"/>
      <c r="C47" s="125" t="s">
        <v>132</v>
      </c>
      <c r="D47" s="126">
        <v>720</v>
      </c>
      <c r="E47" s="127">
        <v>5.2999999999999999E-2</v>
      </c>
      <c r="F47" s="18">
        <v>38.159999999999997</v>
      </c>
      <c r="G47" s="8"/>
      <c r="H47" s="10"/>
      <c r="I47" s="1"/>
    </row>
    <row r="48" spans="1:9" ht="15.75" customHeight="1">
      <c r="A48" s="50">
        <v>46246</v>
      </c>
      <c r="B48" s="53"/>
      <c r="C48" s="92" t="s">
        <v>134</v>
      </c>
      <c r="D48" s="93">
        <v>100</v>
      </c>
      <c r="E48" s="138">
        <v>5.1877000000000004</v>
      </c>
      <c r="F48" s="18">
        <v>518.7700000000001</v>
      </c>
      <c r="G48" s="50"/>
      <c r="H48" s="53"/>
      <c r="I48" s="1"/>
    </row>
    <row r="49" spans="1:9" ht="15.75" customHeight="1">
      <c r="A49" s="50">
        <v>46246</v>
      </c>
      <c r="B49" s="53"/>
      <c r="C49" s="92" t="s">
        <v>137</v>
      </c>
      <c r="D49" s="93">
        <v>50</v>
      </c>
      <c r="E49" s="138">
        <v>5.5975000000000001</v>
      </c>
      <c r="F49" s="18">
        <v>279.875</v>
      </c>
      <c r="G49" s="50"/>
      <c r="H49" s="53"/>
      <c r="I49" s="1"/>
    </row>
    <row r="50" spans="1:9" ht="15.75" customHeight="1">
      <c r="A50" s="131">
        <v>46246</v>
      </c>
      <c r="B50" s="132"/>
      <c r="C50" s="133" t="s">
        <v>138</v>
      </c>
      <c r="D50" s="134">
        <v>50</v>
      </c>
      <c r="E50" s="135">
        <v>5.6818</v>
      </c>
      <c r="F50" s="136">
        <v>284.08999999999997</v>
      </c>
      <c r="G50" s="131"/>
      <c r="H50" s="132"/>
      <c r="I50" s="1"/>
    </row>
    <row r="51" spans="1:9" ht="15.75" customHeight="1">
      <c r="A51" s="139">
        <v>46246</v>
      </c>
      <c r="B51" s="141" t="s">
        <v>139</v>
      </c>
      <c r="C51" s="142" t="s">
        <v>140</v>
      </c>
      <c r="D51" s="143">
        <v>50</v>
      </c>
      <c r="E51" s="144">
        <v>1.5972</v>
      </c>
      <c r="F51" s="145">
        <v>79.86</v>
      </c>
      <c r="G51" s="139"/>
      <c r="H51" s="141"/>
      <c r="I51" s="1"/>
    </row>
    <row r="52" spans="1:9" ht="15.75" customHeight="1">
      <c r="A52" s="146">
        <v>46246</v>
      </c>
      <c r="B52" s="147" t="s">
        <v>142</v>
      </c>
      <c r="C52" s="148" t="s">
        <v>143</v>
      </c>
      <c r="D52" s="149">
        <v>50</v>
      </c>
      <c r="E52" s="150">
        <v>14.9</v>
      </c>
      <c r="F52" s="151">
        <v>745</v>
      </c>
      <c r="G52" s="146"/>
      <c r="H52" s="147"/>
      <c r="I52" s="1"/>
    </row>
    <row r="53" spans="1:9" ht="15.75" customHeight="1">
      <c r="A53" s="50">
        <v>46246</v>
      </c>
      <c r="B53" s="53"/>
      <c r="C53" s="152" t="s">
        <v>146</v>
      </c>
      <c r="D53" s="93">
        <v>15000</v>
      </c>
      <c r="E53" s="59">
        <v>0.1</v>
      </c>
      <c r="F53" s="154">
        <v>1500</v>
      </c>
      <c r="G53" s="53"/>
      <c r="H53" s="53"/>
      <c r="I53" s="1"/>
    </row>
    <row r="54" spans="1:9" ht="15.75" customHeight="1">
      <c r="A54" s="155">
        <v>46246</v>
      </c>
      <c r="B54" s="156"/>
      <c r="C54" s="157" t="s">
        <v>148</v>
      </c>
      <c r="D54" s="158">
        <v>100</v>
      </c>
      <c r="E54" s="159">
        <v>2.4489999999999998</v>
      </c>
      <c r="F54" s="160">
        <v>244.89999999999998</v>
      </c>
      <c r="G54" s="155"/>
      <c r="H54" s="156"/>
      <c r="I54" s="69"/>
    </row>
    <row r="55" spans="1:9" ht="15.75" customHeight="1"/>
    <row r="56" spans="1:9" ht="15.75" customHeight="1"/>
    <row r="57" spans="1:9" ht="15.75" customHeight="1"/>
    <row r="58" spans="1:9" ht="15.75" customHeight="1"/>
    <row r="59" spans="1:9" ht="15.75" customHeight="1"/>
    <row r="60" spans="1:9" ht="15.75" customHeight="1"/>
    <row r="61" spans="1:9" ht="15.75" customHeight="1"/>
    <row r="62" spans="1:9" ht="15.75" customHeight="1"/>
    <row r="63" spans="1:9" ht="15.75" customHeight="1"/>
    <row r="64" spans="1:9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pageMargins left="0.511811024" right="0.511811024" top="0.78740157499999996" bottom="0.78740157499999996" header="0" footer="0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2026-09-01T16:30:35Z</cp:lastPrinted>
  <dcterms:created xsi:type="dcterms:W3CDTF">2026-01-14T17:11:44Z</dcterms:created>
  <dcterms:modified xsi:type="dcterms:W3CDTF">2026-09-02T11:54:39Z</dcterms:modified>
</cp:coreProperties>
</file>