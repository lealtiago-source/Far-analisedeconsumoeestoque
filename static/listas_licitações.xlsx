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alt\Downloads\"/>
    </mc:Choice>
  </mc:AlternateContent>
  <bookViews>
    <workbookView xWindow="0" yWindow="0" windowWidth="20490" windowHeight="7635"/>
  </bookViews>
  <sheets>
    <sheet name="CISAMAPI 26" sheetId="1" r:id="rId1"/>
    <sheet name="Sigaf MED I" sheetId="3" r:id="rId2"/>
    <sheet name="Sigaf MED IV" sheetId="4" r:id="rId3"/>
    <sheet name="Prefeitura" sheetId="5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4" i="5" l="1"/>
  <c r="C165" i="5"/>
  <c r="C166" i="5"/>
  <c r="C167" i="5"/>
  <c r="C168" i="5"/>
  <c r="C169" i="5"/>
  <c r="C170" i="5"/>
  <c r="C171" i="5"/>
  <c r="C172" i="5"/>
  <c r="C173" i="5"/>
  <c r="C174" i="5"/>
  <c r="C175" i="5"/>
  <c r="C176" i="5"/>
  <c r="C181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9" i="5"/>
  <c r="C210" i="5"/>
  <c r="C211" i="5"/>
  <c r="C216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7" i="5"/>
  <c r="C288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8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49" i="5"/>
  <c r="C50" i="5"/>
  <c r="C51" i="5"/>
  <c r="C52" i="5"/>
  <c r="C53" i="5"/>
  <c r="C54" i="5"/>
  <c r="C59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8" i="5"/>
  <c r="C20" i="5"/>
  <c r="C21" i="5"/>
  <c r="C4" i="5"/>
  <c r="C5" i="5"/>
  <c r="C6" i="5"/>
  <c r="C7" i="5"/>
  <c r="C8" i="5"/>
  <c r="C9" i="5"/>
  <c r="C10" i="5"/>
  <c r="C11" i="5"/>
  <c r="C12" i="5"/>
  <c r="C13" i="5"/>
  <c r="C14" i="5"/>
  <c r="C15" i="5"/>
  <c r="C3" i="5"/>
</calcChain>
</file>

<file path=xl/sharedStrings.xml><?xml version="1.0" encoding="utf-8"?>
<sst xmlns="http://schemas.openxmlformats.org/spreadsheetml/2006/main" count="1281" uniqueCount="874">
  <si>
    <t>Item</t>
  </si>
  <si>
    <t>Unidade de Medida</t>
  </si>
  <si>
    <t>Unidade de Fracionamento</t>
  </si>
  <si>
    <t>Saldo</t>
  </si>
  <si>
    <t>Valor Unitário</t>
  </si>
  <si>
    <t>278281 - ADENOSINA, DOSAGEM:3 MG/ML, INDICAÇÃO:SOLUÇÃO INJETÁVEL</t>
  </si>
  <si>
    <t>AMPOLA 2 ML</t>
  </si>
  <si>
    <t>292382 - TRAMADOL CLORIDRATO, DOSAGEM:50 MG/ML, FORMA FARMACÊUTICA:SOLUÇÃO INJETÁVEL</t>
  </si>
  <si>
    <t>AMPOLA 1 ML</t>
  </si>
  <si>
    <t>270622 - ESCOPOLAMINA BUTILBROMETO, APRESENTAÇÃO:ASSOCIADA COM DIPIRONA SÓDICA, DOSAGEM:6,67MG + 333MG/ML, INDICAÇÃO:SOLUÇÃO ORAL</t>
  </si>
  <si>
    <t>FRASCO 20 ML</t>
  </si>
  <si>
    <t>267892 - PANTOPRAZOL, DOSAGEM:40 MG</t>
  </si>
  <si>
    <t>COMPRIMIDO</t>
  </si>
  <si>
    <t>272365 - SERTRALINA CLORIDRATO, DOSAGEM:50MG</t>
  </si>
  <si>
    <t>282313 - CICLOBENZAPRINA CLORIDRATO, DOSAGEM:10 MG</t>
  </si>
  <si>
    <t>291770 - ESCITALOPRAM OXALATO, DOSAGEM:10 MG</t>
  </si>
  <si>
    <t>COMPRIMIDO REVESTIDO</t>
  </si>
  <si>
    <t>58202512081435560 - INOVAMED HOSPITALAR LTDA</t>
  </si>
  <si>
    <t>412091 - RIVAROXABANA, CONCENTRAÇÃO:20 MG</t>
  </si>
  <si>
    <t>271356 - ALPRAZOLAM, DOSAGEM:1 MG</t>
  </si>
  <si>
    <t>267569 - DILTIAZEM CLORIDRATO, DOSAGEM:30 MG</t>
  </si>
  <si>
    <t>268481 - MIDAZOLAM, DOSAGEM:5 MG/ML, APLICAÇÃO:INJETÁVEL</t>
  </si>
  <si>
    <t>AMPOLA 3 ML</t>
  </si>
  <si>
    <t>266788 - NISTATINA, DOSAGEM:25.000 UI/G, APRESENTAÇÃO:CREME VAGINAL</t>
  </si>
  <si>
    <t>BISNAGA 60 GRAMAS + 14 APLICADORES</t>
  </si>
  <si>
    <t>272089 - SULFADIAZINA, PRINCÍPIO ATIVO:DE PRATA, DOSAGEM:1%, INDICAÇÃO:CREME</t>
  </si>
  <si>
    <t>POTE 400 GRAMAS</t>
  </si>
  <si>
    <t>274567 - VITAMINAS DO COMPLEXO B, COMPOSIÇÃO BÁSICA:B1 + B6 + B12, USO:SOLUÇÃO INJETÁVEL</t>
  </si>
  <si>
    <t>412965 - SIMETICONA, CONCENTRAÇÃO:75 MG/ML, FORMA FARMACÊUTICA:SOLUÇÃO ORAL - GOTAS</t>
  </si>
  <si>
    <t>FRASCO 15 ML</t>
  </si>
  <si>
    <t>58202512081435561 - COFARMINAS COMERCIO DE PRODUTOS FARMACEUTICOS LTDA</t>
  </si>
  <si>
    <t>58202512081435562 - ALFALAGOS LTDA</t>
  </si>
  <si>
    <t>273396 - ISOSSORBIDA, PRINCÍPIO ATIVO:SAL DINITRATO, DOSAGEM:10 MG</t>
  </si>
  <si>
    <t>267283 - ESCOPOLAMINA BUTILBROMETO, DOSAGEM:10 MG</t>
  </si>
  <si>
    <t>267688 - METILDOPA, DOSAGEM:500 MG</t>
  </si>
  <si>
    <t>COMPRIMIDO 500MG</t>
  </si>
  <si>
    <t>267729 - NIFEDIPINO, DOSAGEM:20 MG</t>
  </si>
  <si>
    <t>272850 - TOPIRAMATO, DOSAGEM:50 MG</t>
  </si>
  <si>
    <t>58202512081435563 - CRISTALIA PRODUTOS QUIMICOS FARMACEUTICOS LTDA</t>
  </si>
  <si>
    <t>270590 - BETAMETASONA, COMPOSIÇÃO:DIPROPIONATO, APRESENTAÇÃO:ASSOCIADA COM BETAMETASONA FOSFATO, DOSAGEM:5MG + 2MG, USO:INJETÁVEL</t>
  </si>
  <si>
    <t>267292 - IMIPRAMINA, PRINCÍPIO ATIVO:CLORIDRATO, DOSAGEM:25 MG</t>
  </si>
  <si>
    <t>268958 - COLAGENASE, CONCENTRAÇÃO:0,6UI/G, USO:POMADA</t>
  </si>
  <si>
    <t>OU 1,2 U/G - BISNAGA DE 30 GRAMAS</t>
  </si>
  <si>
    <t>270116 - ETOMIDATO, DOSAGEM:2 MG/ML, APRESENTAÇÃO:SOLUÇÃO INJETÁVEL</t>
  </si>
  <si>
    <t>AMPOLA 10 ML</t>
  </si>
  <si>
    <t>345259 - METOPROLOL, CONCENTRAÇÃO:1 MG/ML, FORMA FARMACEUTICA:SOLUÇÃO INJETÁVEL</t>
  </si>
  <si>
    <t>AMPOLA 5 ML</t>
  </si>
  <si>
    <t>268970 - NITROGLICERINA, DOSAGEM:5 MG/ML, APLICAÇÃO:INJETÁVEL</t>
  </si>
  <si>
    <t>287687 - EFEDRINA, APRESENTAÇÃO:SULFATO, DOSAGEM:50 MG/ML, APLICAÇÃO:SOLUÇÃO INJETÁVEL</t>
  </si>
  <si>
    <t>58202512081435564 - CENTERMEDI-COMERCIO DE PRODUTOS HOSPITALARES LTDA</t>
  </si>
  <si>
    <t>272903 - CITALOPRAM, DOSAGEM:20 MG</t>
  </si>
  <si>
    <t>271000 - DICLOFENACO, APRESENTAÇÃO:SAL SÓDICO, DOSAGEM:50 MG</t>
  </si>
  <si>
    <t>58202512081435565 - MED CENTER COMERCIAL LTDA</t>
  </si>
  <si>
    <t>437284 - LEVETIRACETAM, CONCENTRAÇÃO:750 MG</t>
  </si>
  <si>
    <t>58202512081435566 - DISTRIMIX DISTRIBUIDORA DE MEDICAMENTOS LTDA</t>
  </si>
  <si>
    <t>267516 - ATENOLOL, DOSAGEM:25 MG</t>
  </si>
  <si>
    <t>269962 - DOMPERIDONA, DOSAGEM:10 MG</t>
  </si>
  <si>
    <t>58202512081435578 - ILG COMERCIAL LTDA</t>
  </si>
  <si>
    <t>368499 - VITAMINAS DO COMPLEXO B, COMPOSIÇÃO BÁSICA:B1,B2,B3,B5,B6</t>
  </si>
  <si>
    <t>COMPRIMIDO - EMBALAGEM FRACIONÁVEL</t>
  </si>
  <si>
    <t>582025120814355910 - TOP NORTE COMERCIO DE MATERIAL MEDICO HOSPITALAR LTDA</t>
  </si>
  <si>
    <t>446263 - AMBROXOL, COMPOSIÇÃO:SAL CLORIDRATO, CONCENTRAÇÃO:6 MG/ML, FORMA FARMACÊUTICA:XAROPE</t>
  </si>
  <si>
    <t>FRASCO 120 ML +COPO MEDIDOR</t>
  </si>
  <si>
    <t>448838 - ACEBROFILINA, CONCENTRAÇÃO:5 MG/ML, FORMA FARMACEUTICA:XAROPE</t>
  </si>
  <si>
    <t>582025120814355911 - DISTRIBEM MED. E MAT. HOSP. LTDA</t>
  </si>
  <si>
    <t>407326 - LISDEXANFETAMINA DIMESILATO, CONCENTRAÇÃO:70 MG</t>
  </si>
  <si>
    <t>CÁPSULA</t>
  </si>
  <si>
    <t>267628 - CINARIZINA, DOSAGEM:25 MG</t>
  </si>
  <si>
    <t>272045 - CLOPIDOGREL, DOSAGEM:75 MG</t>
  </si>
  <si>
    <t>267161 - CLORETO DE POTÁSSIO, DOSAGEM:10%, APRESENTAÇÃO:SOLUÇÃO INJETÁVEL</t>
  </si>
  <si>
    <t>58202512081435599 - COMERCIAL CIRÚRGICA RIOCLARENSE LTDA</t>
  </si>
  <si>
    <t>448845 - CETOPROFENO, CONCENTRAÇAO:50 MG/ML, FORMA FARMACEUTICA:SOLUÇÃO INJETÁVEL</t>
  </si>
  <si>
    <t>271950 - FENTANILA, APRESENTAÇÃO:SAL CITRATO, DOSAGEM:0,05 MG/ML, INDICAÇÃO:SOLUÇÃO INJETÁVEL</t>
  </si>
  <si>
    <t>582025120814360212 - CM HOSPITALAR - BRASILIA 87</t>
  </si>
  <si>
    <t>273836 - INSULINA, ORIGEM:GLARGINA, DOSAGEM:100UI/ML, APLICAÇÃO:INJETÁVEL</t>
  </si>
  <si>
    <t>FRASCO-AMPOLA 10 ML</t>
  </si>
  <si>
    <t>REFIL 3 ML</t>
  </si>
  <si>
    <t>582025120814360213 - SOMA/MG PRODUTOS HOSPITALARES LTDA</t>
  </si>
  <si>
    <t>271687 - ÁCIDO ASCÓRBICO, DOSAGEM:100 MG/ML, TIPO USO:INJETÁVEL</t>
  </si>
  <si>
    <t>269958 - BROMOPRIDA, DOSAGEM:5 MG/ML, APRESENTAÇÃO:INJETÁVEL</t>
  </si>
  <si>
    <t>268236 - CLORETO DE SÓDIO, PRINCÍPIO ATIVO:0,9%_ SOLUÇÃO INJETÁVEL, APLICAÇÃO:SISTEMA FECHADO</t>
  </si>
  <si>
    <t>271003 - DICLOFENACO, APRESENTAÇÃO:SAL SÓDICO, DOSAGEM:25MG/ML, USO:SOLUÇÃO INJETÁVEL</t>
  </si>
  <si>
    <t>270019 - GLICONATO DE CÁLCIO, DOSAGEM:10%, APRESENTAÇÃO:SOLUÇÃO INJETÁVEL</t>
  </si>
  <si>
    <t>267282 - ESCOPOLAMINA BUTILBROMETO, DOSAGEM:20 MG/ML, INDICAÇÃO:SOLUÇÃO INJETÁVEL</t>
  </si>
  <si>
    <t>272809 - LAMOTRIGINA, DOSAGEM:100 MG</t>
  </si>
  <si>
    <t>453501 - NITROPRUSSETO DE SÓDIO, CONCENTRAÇÃO:25 MG/ML, FORMA FARMACEUTICA:SOLUÇÃO INJETÁVEL</t>
  </si>
  <si>
    <t>268507 - ONDANSETRONA CLORIDRATO, DOSAGEM:4 MG/ML, INDICAÇÃO:INJETÁVEL</t>
  </si>
  <si>
    <t>292399 - FITOMENADIONA, DOSAGEM:10 MG/ML, APRESENTAÇÃO:SOLUÇÃO INJETÁVEL</t>
  </si>
  <si>
    <t>269843 - LIDOCAÍNA CLORIDRATO, DOSAGEM:2%, APRESENTAÇÃO:INJETÁVEL</t>
  </si>
  <si>
    <t>FRASCO-AMPOLA 20 ML</t>
  </si>
  <si>
    <t>582025120814360214 - SIRIO PHARMA LTDA</t>
  </si>
  <si>
    <t>269956 - BROMOPRIDA, DOSAGEM:4 MG/ML, APRESENTAÇÃO:GOTAS</t>
  </si>
  <si>
    <t>273554 - MELOXICAM, CONCENTRAÇÃO:15 MG</t>
  </si>
  <si>
    <t>582025120814360417 - NOVA MEDICAMENTOS LTDA</t>
  </si>
  <si>
    <t>393813 - CETOPROFENO, CONCENTRAÇAO:100 MG</t>
  </si>
  <si>
    <t>270620 - ESCOPOLAMINA BUTILBROMETO, APRESENTAÇÃO:ASSOCIADA COM DIPIRONA SÓDICA, DOSAGEM:10MG + 250MG</t>
  </si>
  <si>
    <t>276948 - TRAZODONA CLORIDRATO, DOSAGEM:50 MG</t>
  </si>
  <si>
    <t>582025120814360418 - PROMEFARMA MEDICAMENTOS E PRODUTOS HOSPITALARES LTDA</t>
  </si>
  <si>
    <t>269954 - BROMOPRIDA, DOSAGEM:10 MG</t>
  </si>
  <si>
    <t>446264 - AMBROXOL, COMPOSIÇÃO:SAL CLORIDRATO, CONCENTRAÇÃO:3 MG/ML, FORMA FARMACÊUTICA:XAROPE</t>
  </si>
  <si>
    <t>267540 - GLICOSE, CONCENTRAÇÃO:25%, INDICAÇÃO:SOLUÇÃO INJETÁVEL</t>
  </si>
  <si>
    <t>394263 - HIDROXIZINA CLORIDRATO, CONCENTRAÇÃO:2 MG/ML, FORMA FARMACEUTICA:SOLUÇÃO ORAL</t>
  </si>
  <si>
    <t>FRASCO 100 ML + COPO MEDIDOR</t>
  </si>
  <si>
    <t>272839 - RISPERIDONA, DOSAGEM:1 MG</t>
  </si>
  <si>
    <t>272832 - QUETIAPINA, DOSAGEM:100 MG</t>
  </si>
  <si>
    <t>582025120814360720 - DIMASTER - COMERCIO DE PRODUTOS HOSPITALARES LTDA</t>
  </si>
  <si>
    <t>284105 - RISPERIDONA, DOSAGEM:3 MG</t>
  </si>
  <si>
    <t>582025120814360721 - CONQUISTA DISTRIBUIDORA DE MEDICAMENTOS E PRODUTOS HOSPITALARES LTDA</t>
  </si>
  <si>
    <t>292402 - AMINOFILINA, DOSAGEM:24 MG/ML, FORMA FARMACÊUTICA:SOLUÇÃO INJETÁVEL</t>
  </si>
  <si>
    <t>270621 - ESCOPOLAMINA BUTILBROMETO, APRESENTAÇÃO:ASSOCIADA COM DIPIRONA SÓDICA, DOSAGEM:4MG + 500MG/ML, INDICAÇÃO:SOLUÇÃO INJETÁVEL</t>
  </si>
  <si>
    <t>582025120814361425 - PEROLA IMPORTADORA E DISTRIBUIDORA HOSPITALAR EIRELI</t>
  </si>
  <si>
    <t>273710 - NIMESULIDA, DOSAGEM:100 MG</t>
  </si>
  <si>
    <t>582025120814362230 - UNIÃO QUÍMICA FARMACÊUTICA NACIONAL S/A</t>
  </si>
  <si>
    <t>448982 - ENOXAPARINA, CONCENTRAÇÃO:100 MG/ML, FORMA FARMACEUTICA:SOLUÇÃO INJETÁVEL, CARACTERÍSTICAS ADICIONAIS 1:SERINGA PREENCHIDA</t>
  </si>
  <si>
    <t>0,4 ML SERINGA PREENCHIDA</t>
  </si>
  <si>
    <t>268532 - TENOXICAM, DOSAGEM:20 MG, INDICAÇÃO:INJETÁVEL</t>
  </si>
  <si>
    <t>FRASCO-AMPOLA</t>
  </si>
  <si>
    <t>582025120814362231 - DIMEVA DISTRIBUIDORA E IMPORTADORA LTDA</t>
  </si>
  <si>
    <t>273167 - NEOMICINA, COMPOSIÇÃO:ASSOCIADA COM BACITRACINA, CONCENTRAÇÃO:5MG + 250UI/G, TIPO MEDICAMENTO:POMADA</t>
  </si>
  <si>
    <t>BISNAGA 10 GRAMAS</t>
  </si>
  <si>
    <t>582025120814362432 - RM TRADE SOLUÇÕES EM NEGOCIOS E SERVIÇOS LTDA</t>
  </si>
  <si>
    <t>273940 - PAROXETINA CLORIDRATO, DOSAGEM:20 MG</t>
  </si>
  <si>
    <t>582025120814362633 - MEDSI DISTRIBUIDORA DE MEDICAMENTOS LTDA</t>
  </si>
  <si>
    <t>448579 - MICOFENOLATO, COMPOSIÇÃO:MOFETILA, CONCENTRAÇÃO:500 MG</t>
  </si>
  <si>
    <t>582025120814363135 - KADFAR MEDICAMENTOS LTDA</t>
  </si>
  <si>
    <t>401890 - CIANOCOBALAMINA, COMPOSIÇÃO:ASSOCIADA COM PIRIDOXINA E TIAMINA, CONCENTRAÇÃO:5 MG + 100 MG + 100 MG/ML, FORMA FARMACÊUTICA:SOLUÇÃO INJETÁVEL</t>
  </si>
  <si>
    <t>CONJUNTO AMP I+AMP II</t>
  </si>
  <si>
    <t>Medicamento/Produto</t>
  </si>
  <si>
    <t>Qtd Anual Programada</t>
  </si>
  <si>
    <t>Qtd Anual Ajustada</t>
  </si>
  <si>
    <t>Saldo à executar em ATA</t>
  </si>
  <si>
    <t>Quantidade Solicitada</t>
  </si>
  <si>
    <t>Qtd Por caixa</t>
  </si>
  <si>
    <t>Valor Unitario (R$)</t>
  </si>
  <si>
    <t>Adiciona Autorização de Execução de Compra</t>
  </si>
  <si>
    <t>Número da AEC:</t>
  </si>
  <si>
    <t>******/****</t>
  </si>
  <si>
    <t>Status:</t>
  </si>
  <si>
    <t>Aberta</t>
  </si>
  <si>
    <t>Data:</t>
  </si>
  <si>
    <t>Ciclo de Fornecimento:</t>
  </si>
  <si>
    <t>3º CICLO DE FORNECIMENTO 2026</t>
  </si>
  <si>
    <t>Estabelecimento de Saúde:</t>
  </si>
  <si>
    <t>SANTO ANTÔNIO DO GRAMA</t>
  </si>
  <si>
    <t>Lista medicamento*:</t>
  </si>
  <si>
    <t>Tipo Conta:</t>
  </si>
  <si>
    <t>MEDICAMENTOS BASICOS</t>
  </si>
  <si>
    <t>Itens da AEC</t>
  </si>
  <si>
    <t>1) ALENDRONATO DE SODIO 70 MG COMPRIMIDO</t>
  </si>
  <si>
    <t>2) AMIODARONA 200 MG COMPRIMIDO</t>
  </si>
  <si>
    <t>3) AMIODARONA 50 MG/ML SOLUÇÃO INJETÁVEL (VIA ENDOVENOSA)</t>
  </si>
  <si>
    <t>4) AMITRIPTILINA CLORIDRATO 25 MG COMPRIMIDO</t>
  </si>
  <si>
    <t>5) AMITRIPTILINA CLORIDRATO 75 MG COMPRIMIDO</t>
  </si>
  <si>
    <t>6) AMOXICILINA 50 MG/ML PO PARA SUSPENSAO ORAL</t>
  </si>
  <si>
    <t>7) AMOXICILINA 500 MG CÁPSULA DURA</t>
  </si>
  <si>
    <t>8) AMOXICILINA + CLAVULANATO DE POTASSIO 50+12,5 MG/ML PO PARA SUSPENSAO ORAL</t>
  </si>
  <si>
    <t>9) AMOXICILINA + CLAVULANATO DE POTASSIO 500+125 MG COMPRIMIDO</t>
  </si>
  <si>
    <t>10) ANLODIPINO BESILATO 10 MG COMPRIMIDO</t>
  </si>
  <si>
    <t>11) ANLODIPINO BESILATO 5 MG COMPRIMIDO</t>
  </si>
  <si>
    <t>12) ATENOLOL 100 MG COMPRIMIDO</t>
  </si>
  <si>
    <t>13) ATENOLOL 50 MG COMPRIMIDO</t>
  </si>
  <si>
    <t>14) AZITROMICINA 40 MG/ML (600 MG) PO PARA SUSPENSAO ORAL</t>
  </si>
  <si>
    <t>15) AZITROMICINA 500 MG COMPRIMIDO REVESTIDO</t>
  </si>
  <si>
    <t>16) BIPERIDENO CLORIDRATO 2 MG COMPRIMIDO</t>
  </si>
  <si>
    <t>17) BIPERIDENO CLORIDRATO 5 MG/ML SOLUÇÃO INJETÁVEL (VIA ENDOVENOSA OU INTRAMUSCULAR)</t>
  </si>
  <si>
    <t>18) CAPTOPRIL 25 MG COMPRIMIDO</t>
  </si>
  <si>
    <t>19) CARBAMAZEPINA 20 MG/ML SUSPENSAO ORAL</t>
  </si>
  <si>
    <t>20) CARBAMAZEPINA 200 MG COMPRIMIDO</t>
  </si>
  <si>
    <t>21) CARBAMAZEPINA 400 MG COMPRIMIDO</t>
  </si>
  <si>
    <t>22) CARVEDILOL 12,5 MG COMPRIMIDO</t>
  </si>
  <si>
    <t>23) CARVEDILOL 25 MG COMPRIMIDO</t>
  </si>
  <si>
    <t>24) CARVEDILOL 3,125 MG COMPRIMIDO</t>
  </si>
  <si>
    <t>25) CARVEDILOL 6,25 MG COMPRIMIDO</t>
  </si>
  <si>
    <t>26) CEFALEXINA 50 MG/ML SUSPENSAO ORAL</t>
  </si>
  <si>
    <t>27) CEFALEXINA 500 MG COMPRIMIDO</t>
  </si>
  <si>
    <t>28) CEFTRIAXONA 1 G PÓ PARA SOLUÇÃO INJETÁVEL (VIA ENDOVENOSA)</t>
  </si>
  <si>
    <t>29) CIPROFLOXACINO CLORIDRATO 500 MG COMPRIMIDO</t>
  </si>
  <si>
    <t>30) CLARITROMICINA 50 MG/ML SUSPENSAO ORAL</t>
  </si>
  <si>
    <t>31) CLARITROMICINA 500 MG COMPRIMIDO</t>
  </si>
  <si>
    <t>32) CLINDAMICINA CLORIDRATO 300 MG CAPSULA</t>
  </si>
  <si>
    <t>33) CLOMIPRAMINA CLORIDRATO 10 MG COMPRIMIDO</t>
  </si>
  <si>
    <t>34) CLOMIPRAMINA CLORIDRATO 25 MG COMPRIMIDO</t>
  </si>
  <si>
    <t>35) CLONAZEPAM 2,5 MG/ML SOLUCAO ORAL</t>
  </si>
  <si>
    <t>36) CLORPROMAZINA CLORIDRATO 100 MG COMPRIMIDO</t>
  </si>
  <si>
    <t>37) CLORPROMAZINA CLORIDRATO 25 MG COMPRIMIDO</t>
  </si>
  <si>
    <t>38) CLORPROMAZINA CLORIDRATO 40 MG/ML SOLUCAO ORAL</t>
  </si>
  <si>
    <t>39) CLORPROMAZINA CLORIDRATO 5 MG/ML SOLUÇÃO INJETÁVEL</t>
  </si>
  <si>
    <t>40) DIAZEPAM 10 MG COMPRIMIDO</t>
  </si>
  <si>
    <t>41) DIAZEPAM 5 MG COMPRIMIDO</t>
  </si>
  <si>
    <t>42) DIAZEPAM 5 MG/ML SOLUÇÃO INJETÁVEL (VIA ENDOVENOSA)</t>
  </si>
  <si>
    <t>43) DIGOXINA 0,25 MG COMPRIMIDO</t>
  </si>
  <si>
    <t>44) DOXAZOSINA MESILATO 2 MG COMPRIMIDO</t>
  </si>
  <si>
    <t>45) DOXAZOSINA MESILATO 4 MG COMPRIMIDO</t>
  </si>
  <si>
    <t>46) ENALAPRIL MALEATO 10 MG COMPRIMIDO</t>
  </si>
  <si>
    <t>47) ENALAPRIL MALEATO 20 MG COMPRIMIDO</t>
  </si>
  <si>
    <t>48) ENALAPRIL MALEATO 5 MG COMPRIMIDO</t>
  </si>
  <si>
    <t>49) ESPIRONOLACTONA 100 MG COMPRIMIDO</t>
  </si>
  <si>
    <t>50) ESPIRONOLACTONA 25 MG COMPRIMIDO</t>
  </si>
  <si>
    <t>51) FENITOINA SODICA 100 MG COMPRIMIDO</t>
  </si>
  <si>
    <t>52) FENITOINA SODICA 50 MG/ML SOLUÇÃO INJETÁVEL (VIA ENDOVENOSA OU INTRAMUSCULAR)</t>
  </si>
  <si>
    <t>53) FENOBARBITAL SODICO 100 MG COMPRIMIDO</t>
  </si>
  <si>
    <t>54) FENOBARBITAL SODICO 100 MG/ML SOLUÇÃO INJETÁVEL</t>
  </si>
  <si>
    <t>55) FENOBARBITAL SODICO 40 MG/ML SOLUCAO ORAL</t>
  </si>
  <si>
    <t>56) FINASTERIDA 5 MG COMPRIMIDO</t>
  </si>
  <si>
    <t>57) FLUMAZENIL 0,1 MG/ML SOLUÇÃO INJETÁVEL (VIA ENDOVENOSA)</t>
  </si>
  <si>
    <t>58) FLUOXETINA CLORIDRATO 20 MG CAPSULA</t>
  </si>
  <si>
    <t>59) FUROSEMIDA 10 MG/ML SOLUÇÃO INJETÁVEL (VIA ENDOVENOSA OU INTRAMUSCULAR)</t>
  </si>
  <si>
    <t>60) FUROSEMIDA 40 MG COMPRIMIDO</t>
  </si>
  <si>
    <t>61) GLIBENCLAMIDA 5 MG COMPRIMIDO</t>
  </si>
  <si>
    <t>62) GLICLAZIDA 30 MG COMPRIMIDO DE LIBERAÇÃO PROLONGADA</t>
  </si>
  <si>
    <t>63) GLICLAZIDA 60 MG COMPRIMIDO DE LIBERAÇÃO PROLONGADA</t>
  </si>
  <si>
    <t>64) HALOPERIDOL 1 MG COMPRIMIDO</t>
  </si>
  <si>
    <t>65) HALOPERIDOL 2 MG/ML SOLUCAO ORAL</t>
  </si>
  <si>
    <t>66) HALOPERIDOL 5 MG COMPRIMIDO</t>
  </si>
  <si>
    <t>67) HALOPERIDOL 5 MG/ML SOLUÇÃO INJETÁVEL (VIA INTRAMUSCULAR)</t>
  </si>
  <si>
    <t>68) HALOPERIDOL DECANOATO 50 MG/ML SOLUÇÃO INJETÁVEL (VIA INTRAMUSCULAR)</t>
  </si>
  <si>
    <t>69) HIDRALAZINA CLORIDRATO 25 MG COMPRIMIDO</t>
  </si>
  <si>
    <t>70) HIDRALAZINA CLORIDRATO 50 MG COMPRIMIDO</t>
  </si>
  <si>
    <t>71) HIDROCLOROTIAZIDA 25 MG COMPRIMIDO</t>
  </si>
  <si>
    <t>72) ISOSSORBIDA DINITRATO 5 MG COMPRIMIDO SUBLINGUAL</t>
  </si>
  <si>
    <t>73) ISOSSORBIDA MONONITRATO 20 MG COMPRIMIDO</t>
  </si>
  <si>
    <t>74) ISOSSORBIDA MONONITRATO 40 MG COMPRIMIDO</t>
  </si>
  <si>
    <t>75) LEVODOPA + BENSERAZIDA 100+25 MG COMPRIMIDO</t>
  </si>
  <si>
    <t>76) LEVODOPA + BENSERAZIDA 200+50 MG COMPRIMIDO</t>
  </si>
  <si>
    <t>77) LEVOTIROXINA SODICA 100 MCG COMPRIMIDO</t>
  </si>
  <si>
    <t>78) LEVOTIROXINA SODICA 25 MCG COMPRIMIDO</t>
  </si>
  <si>
    <t>79) LEVOTIROXINA SODICA 50 MCG COMPRIMIDO</t>
  </si>
  <si>
    <t>80) LITIO CARBONATO 300 MG COMPRIMIDO</t>
  </si>
  <si>
    <t>81) LOSARTANA POTÁSSICA 50 MG COMPRIMIDO REVESTIDO</t>
  </si>
  <si>
    <t>82) MAGNESIO 50 % SOLUÇÃO INJETÁVEL</t>
  </si>
  <si>
    <t>83) MAGNESIO SULFATO 10 % SOLUÇÃO INJETÁVEL</t>
  </si>
  <si>
    <t>84) METFORMINA CLORIDRATO 500 MG COMPRIMIDO</t>
  </si>
  <si>
    <t>85) METFORMINA CLORIDRATO 850 MG COMPRIMIDO</t>
  </si>
  <si>
    <t>86) METILDOPA 250 MG COMPRIMIDO</t>
  </si>
  <si>
    <t>87) METOPROLOL SUCCINATO 100 MG COMPRIMIDO REVESTIDO DE LIBERACAO CONTROLADA</t>
  </si>
  <si>
    <t>88) METOPROLOL SUCCINATO 25 MG COMPRIMIDO REVESTIDO DE LIBERACAO CONTROLADA</t>
  </si>
  <si>
    <t>89) METOPROLOL SUCCINATO 50 MG COMPRIMIDO REVESTIDO DE LIBERACAO CONTROLADA</t>
  </si>
  <si>
    <t>90) METOPROLOL TARTARATO 100 MG COMPRIMIDO REVESTIDO</t>
  </si>
  <si>
    <t>91) MIDAZOLAM MALEATO 2 MG/ML SOLUCAO ORAL</t>
  </si>
  <si>
    <t>92) NALOXONA 0,4 MG/ML SOLUÇÃO INJETÁVEL (VIA ENDOVENOSA)</t>
  </si>
  <si>
    <t>93) NIFEDIPINO 10 MG COMPRIMIDO</t>
  </si>
  <si>
    <t>94) NITROFURANTOINA 100 MG CAPSULA</t>
  </si>
  <si>
    <t>95) NORTRIPTILINA CLORIDRATO 10 MG CAPSULA</t>
  </si>
  <si>
    <t>96) NORTRIPTILINA CLORIDRATO 25 MG CAPSULA</t>
  </si>
  <si>
    <t>97) NORTRIPTILINA CLORIDRATO 50 MG CAPSULA</t>
  </si>
  <si>
    <t>98) NORTRIPTILINA CLORIDRATO 75 MG CAPSULA</t>
  </si>
  <si>
    <t>99) OMEPRAZOL 20 MG CAPSULA</t>
  </si>
  <si>
    <t>100) ONDANSETRONA CLORIDRATO 4 MG COMPRIMIDO ORODISPERSÍVEL</t>
  </si>
  <si>
    <t>101) ONDANSETRONA CLORIDRATO 8 MG COMPRIMIDO ORODISPERSÍVEL</t>
  </si>
  <si>
    <t>102) PROPAFENONA CLORIDRATO 150 MG COMPRIMIDO</t>
  </si>
  <si>
    <t>103) PROPAFENONA CLORIDRATO 300 MG COMPRIMIDO</t>
  </si>
  <si>
    <t>104) PROPRANOLOL CLORIDRATO 40 MG COMPRIMIDO</t>
  </si>
  <si>
    <t>105) SINVASTATINA 10 MG COMPRIMIDO REVESTIDO</t>
  </si>
  <si>
    <t>106) SINVASTATINA 20 MG COMPRIMIDO REVESTIDO</t>
  </si>
  <si>
    <t>107) SINVASTATINA 40 MG COMPRIMIDO REVESTIDO</t>
  </si>
  <si>
    <t>108) SULFAMETOXAZOL + TRIMETROPRIMA 40+8 MG/ML SUSPENSAO ORAL</t>
  </si>
  <si>
    <t>109) SULFAMETOXAZOL + TRIMETROPRIMA 400+80 MG COMPRIMIDO</t>
  </si>
  <si>
    <t>110) SULFAMETOXAZOL + TRIMETROPRIMA 80+16 MG/ML SOLUÇÃO INJETÁVEL (VIA ENDOVENOSA)</t>
  </si>
  <si>
    <t>111) TETRACICLINA CLORIDRATO 500 MG CAPSULA</t>
  </si>
  <si>
    <t>112) VALPROATO DE SÓDIO (ÁCIDO VALPROICO) 250 MG CAPSULA</t>
  </si>
  <si>
    <t>113) VALPROATO DE SÓDIO (ÁCIDO VALPROICO) 50 MG/ML XAROPE</t>
  </si>
  <si>
    <t>114) VALPROATO DE SÓDIO (ÁCIDO VALPROICO) 500 MG COMPRIMIDO</t>
  </si>
  <si>
    <t>115) VARFARINA SODICA 5 MG COMPRIMIDO</t>
  </si>
  <si>
    <t>116) VERAPAMIL CLORIDRATO 120 MG COMPRIMIDO</t>
  </si>
  <si>
    <t>117) VERAPAMIL CLORIDRATO 80 MG COMPRIMIDO</t>
  </si>
  <si>
    <t>Informativo Financeiro - Forma de Gestão: Totalmente Centralizado no Município (TCM)</t>
  </si>
  <si>
    <t>Valor Total Desta AEC:</t>
  </si>
  <si>
    <t>R$ 0,00</t>
  </si>
  <si>
    <t>4º CICLO DE FORNECIMENTO 2026</t>
  </si>
  <si>
    <t>1) ACETATO DE SÓDIO 2 MEQ/ML SUSPENSAO INJETAVEL</t>
  </si>
  <si>
    <t>2) ACICLOVIR SODICO 200 MG COMPRIMIDO</t>
  </si>
  <si>
    <t>3) ACICLOVIR SODICO 250 MG PÓ LIOFÍLICO PARA INJETÁVEL</t>
  </si>
  <si>
    <t>4) ACICLOVIR SODICO 50 MG/G (5%) CREME</t>
  </si>
  <si>
    <t>5) ACIDO ACETILSALICILICO 100 MG COMPRIMIDO</t>
  </si>
  <si>
    <t>6) ACIDO FOLICO (VITAMINA B9) 5 MG COMPRIMIDO</t>
  </si>
  <si>
    <t>7) ALBENDAZOL 40 MG/ML SUSPENSAO ORAL</t>
  </si>
  <si>
    <t>8) ALBENDAZOL 400 MG COMPRIMIDO MASTIGAVEL</t>
  </si>
  <si>
    <t>9) ALOPURINOL 100 MG COMPRIMIDO</t>
  </si>
  <si>
    <t>10) ALOPURINOL 300 MG COMPRIMIDO</t>
  </si>
  <si>
    <t>11) ATROPINA SULFATO 0,25 MG/ML SOLUÇÃO INJETÁVEL</t>
  </si>
  <si>
    <t>12) BECLOMETASONA DIPROPIONATO 200 MCG/DOSE AEROSSOL ORAL</t>
  </si>
  <si>
    <t>13) BECLOMETASONA DIPROPIONATO 250 MCG/DOSE AEROSSOL ORAL</t>
  </si>
  <si>
    <t>14) BECLOMETASONA DIPROPIONATO 50 MCG/DOSE AEROSSOL ORAL</t>
  </si>
  <si>
    <t>15) BECLOMETASONA DIPROPIONATO 50 MCG/DOSE SUSPENSAO NASAL</t>
  </si>
  <si>
    <t>16) BENZILPENICILINA BENZATINA 1.200.000 UI PÓ PARA SUSPENSÃO INJETÁVEL (VIA INTRAMUSCULAR)</t>
  </si>
  <si>
    <t>17) BENZILPENICILINA BENZATINA 600.000 UI PÓ PARA SUSPENSÃO INJETÁVEL (VIA INTRAMUSCULAR)</t>
  </si>
  <si>
    <t>18) BENZILPENICILINA POTÁSSICA 5.000.000 UI PÓ PARA SOLUÇÃO INJETÁVEL</t>
  </si>
  <si>
    <t>19) BENZILPENICILINA PROCAINA + POTASSICA 300.000+100.000 UI PO PARA INJETAVEL</t>
  </si>
  <si>
    <t>20) BENZOILMETRONIDAZOL 40 MG/ML SUSPENSAO ORAL</t>
  </si>
  <si>
    <t>21) BETAMETASONA ACETATO + FOSFATO DISSÓDICO DE BETAMETASONA 3+3 MG/ML SUSPENSÃO INJETÁVEL (VIA INTRAMUSCULAR)</t>
  </si>
  <si>
    <t>22) BICARBONATO DE SODIO 0,084 G/ML (84 MG/ML OU 8,4%) G/ML SOLUÇÃO INJETÁVEL</t>
  </si>
  <si>
    <t>23) BUDESONIDA 32 MCG SUSPENSAO NASAL</t>
  </si>
  <si>
    <t>24) BUDESONIDA 64 MCG SUSPENSAO NASAL</t>
  </si>
  <si>
    <t>25) BUPIVACAINA CLORIDRATO 0,25 % SOLUÇÃO INJETÁVEL (VIA PERIDURAL)</t>
  </si>
  <si>
    <t>26) BUPIVACAINA CLORIDRATO 0,5 % SOLUÇÃO INJETÁVEL (VIA INTRATECAL)</t>
  </si>
  <si>
    <t>27) CETOCONAZOL 20 MG/ML SHAMPOO</t>
  </si>
  <si>
    <t>28) CIANOCOBALAMINA (VITAMINA B12) 1000 MCG (OU 500 MCG/ML) SOLUÇÃO INJETÁVEL (VIA INTRAMUSCULAR)</t>
  </si>
  <si>
    <t>29) CLORETO DE POTASSIO 191 MG/ML (19,1%) SOLUÇÃO INJETÁVEL</t>
  </si>
  <si>
    <t>30) CLORETO DE SODIO 200 MG/ML SOLUÇÃO INJETÁVEL</t>
  </si>
  <si>
    <t>31) CLORETO DE SODIO 9 MG/ML SOLUÇÃO INJETÁVEL</t>
  </si>
  <si>
    <t>32) DEXAMETASONA 0,1 MG/ML ELIXIR</t>
  </si>
  <si>
    <t>33) DEXAMETASONA 1 MG/G (0,1%) CREME DERMATOLOGICO</t>
  </si>
  <si>
    <t>34) DEXAMETASONA 1 MG/ML (0,1%) SUSPENSAO OFTALMICA</t>
  </si>
  <si>
    <t>35) DEXAMETASONA 4 MG COMPRIMIDO</t>
  </si>
  <si>
    <t>36) DEXAMETASONA FOSFATO DISSODICO 4 MG/ML SOLUÇÃO INJETÁVEL (VIA ENDOVENOSA OU INTRAMUSCULAR)</t>
  </si>
  <si>
    <t>37) DEXCLORFENIRAMINA MALEATO 0,4 MG/ML SOLUCAO ORAL</t>
  </si>
  <si>
    <t>38) DEXCLORFENIRAMINA MALEATO 2,0 MG COMPRIMIDO</t>
  </si>
  <si>
    <t>39) DIPIRONA SODICA 500 MG COMPRIMIDO</t>
  </si>
  <si>
    <t>40) DIPIRONA SODICA 500 MG/ML SOLUCAO ORAL</t>
  </si>
  <si>
    <t>41) DIPIRONA SODICA 500 MG/ML SOLUÇÃO INJETÁVEL (VIA ENDOVENOSA OU INTRAMUSCULAR)</t>
  </si>
  <si>
    <t>42) DOBUTAMINA CLORIDRATO 12,5 MG/ML SOLUÇÃO INJETÁVEL (VIA ENDOVENOSA)</t>
  </si>
  <si>
    <t>43) DOPAMINA CLORIDRATO 5 MG/ML SOLUÇÃO INJETÁVEL (VIA ENDOVENOSA)</t>
  </si>
  <si>
    <t>44) EPINEFRINA HEMITARTARATO 1 MG/ML (OU 0,55MG/ML DE EPINEFRINA BASE) SOLUÇÃO INJETÁVEL</t>
  </si>
  <si>
    <t>45) FERRIPOLIMALTOSE 10 MG/ML XAROPE</t>
  </si>
  <si>
    <t>46) FERRIPOLIMALTOSE 100 MG COMPRIMIDO MASTIGAVEL</t>
  </si>
  <si>
    <t>47) FERRIPOLIMALTOSE 50 MG/ML SOLUCAO ORAL</t>
  </si>
  <si>
    <t>48) FLUCONAZOL 150 MG CAPSULA</t>
  </si>
  <si>
    <t>49) FOLINATO DE CALCIO 15 MG COMPRIMIDO</t>
  </si>
  <si>
    <t>50) GLICEROL 120 MG/ML SOLUCAO RETAL</t>
  </si>
  <si>
    <t>51) GLICOSE 100 MG/ML (10%) SOLUÇÃO INJETÁVEL</t>
  </si>
  <si>
    <t>52) GLICOSE 50 MG/ML (5%) SOLUÇÃO INJETÁVEL - FRASCO 500 ML</t>
  </si>
  <si>
    <t>53) GLICOSE 500 MG/ML (50%) SOLUCAO INJETAVEL - AMPOLA DE 20 ML</t>
  </si>
  <si>
    <t>54) GUACO (MIKANIA GLOMERATA SPRENG.) 0,5 MG A 5 MG DE CUMARINA (DOSE DIÁRIA) XAROPE</t>
  </si>
  <si>
    <t>55) HIDROCORTISONA ACETATO 10 MG/G CREME DERMATOLOGICO</t>
  </si>
  <si>
    <t>56) HIDROCORTISONA SUCCINATO DE SODIO 100 MG PÓ PARA SOLUÇÃO INJETÁVEL (VIA ENDOVENOSA OU INTRAMUSCULAR)</t>
  </si>
  <si>
    <t>57) HIDROCORTISONA SUCCINATO DE SODIO 500 MG PÓ PARA SOLUÇÃO INJETÁVEL (VIA INTRAMUSCULAR)</t>
  </si>
  <si>
    <t>58) IBUPROFENO 300 MG COMPRIMIDO</t>
  </si>
  <si>
    <t>59) IBUPROFENO 50 MG/ML SUSPENSAO ORAL</t>
  </si>
  <si>
    <t>60) IBUPROFENO 600 MG COMPRIMIDO</t>
  </si>
  <si>
    <t>61) IMIQUIMODE 50 MG/G CREME</t>
  </si>
  <si>
    <t>62) IPRATROPIO BROMETO 0,25 MG/ML SOLUCAO PARA INALACAO</t>
  </si>
  <si>
    <t>63) ITRACONAZOL 100 MG CAPSULA</t>
  </si>
  <si>
    <t>64) IVERMECTINA 6 MG COMPRIMIDO</t>
  </si>
  <si>
    <t>65) LEVONORGESTREL + ETINILESTRADIOL 0,15+0,03 MG COMPRIMIDO</t>
  </si>
  <si>
    <t>66) LIDOCAINA CLORIDRATO 10 MG/ML SOLUÇÃO INJETÁVEL (VIA ENDOVENOSA)</t>
  </si>
  <si>
    <t>67) LIDOCAINA CLORIDRATO 100 MG/ML SOLUÇÃO TÓPICA</t>
  </si>
  <si>
    <t>68) LIDOCAINA CLORIDRATO 20 MG/G GEL</t>
  </si>
  <si>
    <t>69) LIDOCAINA CLORIDRATO 20 MG/ML SOLUÇÃO INJETÁVEL (VIA ENDOVENOSA)</t>
  </si>
  <si>
    <t>70) LIDOCAÍNA + GLICOSE 5+7,5 % SOLUÇÃO INJETÁVEL (VIA INTRATECAL)</t>
  </si>
  <si>
    <t>71) LORATADINA 1 MG/ML XAROPE</t>
  </si>
  <si>
    <t>72) LORATADINA 10 MG COMPRIMIDO</t>
  </si>
  <si>
    <t>73) MEDROXIPROGESTERONA ACETATO 150 MG/ML SUSPENSAO INJETAVEL</t>
  </si>
  <si>
    <t>74) METOCLOPRAMIDA CLORIDRATO 10 MG COMPRIMIDO</t>
  </si>
  <si>
    <t>75) METOCLOPRAMIDA CLORIDRATO 5 MG/ML SOLUÇÃO INJETÁVEL</t>
  </si>
  <si>
    <t>76) METRONIDAZOL 100 MG/G GEL VAGINAL</t>
  </si>
  <si>
    <t>77) METRONIDAZOL 250 MG COMPRIMIDO</t>
  </si>
  <si>
    <t>78) METRONIDAZOL 400 MG COMPRIMIDO</t>
  </si>
  <si>
    <t>79) MISOPROSTOL 200 MCG COMPRIMIDO VAGINAL</t>
  </si>
  <si>
    <t>80) MISOPROSTOL 25 MCG COMPRIMIDO VAGINAL</t>
  </si>
  <si>
    <t>81) NISTATINA 100000 UI/ML SUSPENSAO ORAL</t>
  </si>
  <si>
    <t>82) NOREPINEFRINA HEMITARTARATO 2 MG/ML (OU 1MG/ML DE NOREPINEFRINA BASE) SOLUÇÃO INJETÁVEL (VIA ENDOVENOSA)</t>
  </si>
  <si>
    <t>83) NORETISTERONA 0,35 MG COMPRIMIDO</t>
  </si>
  <si>
    <t>84) PARACETAMOL 500 MG COMPRIMIDO</t>
  </si>
  <si>
    <t>85) PERMETRINA 10 MG/ML LOÇÃO</t>
  </si>
  <si>
    <t>86) PERMETRINA 50 MG/ML (5%) LOÇÃO</t>
  </si>
  <si>
    <t>87) PILOCARPINA CLORIDRATO 20 MG/ML SOLUCAO OFTALMICA</t>
  </si>
  <si>
    <t>88) PREDNISOLONA FOSFATO SODICO 1 MG/ML SOLUCAO ORAL</t>
  </si>
  <si>
    <t>89) PREDNISOLONA FOSFATO SODICO 3 MG/ML SOLUCAO ORAL</t>
  </si>
  <si>
    <t>90) PREDNISONA 20 MG COMPRIMIDO</t>
  </si>
  <si>
    <t>91) PREDNISONA 5 MG COMPRIMIDO</t>
  </si>
  <si>
    <t>92) PRILOCAÍNA + FELIPRESSINA CLORIDRATO 3% + 0,03 UI/ML SOLUÇÃO INJETÁVEL</t>
  </si>
  <si>
    <t>93) PROMETAZINA CLORIDRATO 25 MG COMPRIMIDO</t>
  </si>
  <si>
    <t>94) PROMETAZINA CLORIDRATO 25 MG/ML SOLUÇÃO INJETÁVEL (VIA INTRAMUSCULAR)</t>
  </si>
  <si>
    <t>95) PROTAMINA CLORIDRATO 10 MG/ML SOLUÇÃO INJETÁVEL (VIA ENDOVENOSA)</t>
  </si>
  <si>
    <t>96) RINGER + LACTATO DE SODIO SOLUÇÃO INJETÁVEL</t>
  </si>
  <si>
    <t>97) SALBUTAMOL SULFATO 100 MCG AEROSSOL ORAL</t>
  </si>
  <si>
    <t>98) SULFADIAZINA 10 MG/G CREME</t>
  </si>
  <si>
    <t>99) SULFATO DE POLIMIXINA B + SULFATO DE NEOMICINA + FLUOCINOLONA ACETONIDA + CLORIDRATO DE LIDOCAÍNA 10.000 UI/ML + 3,500 MG/ML + 0,250 MG/ML + 20 MG/ML SOLUCAO OTOLOGICA</t>
  </si>
  <si>
    <t>100) SULFATO DE ZINCO HEPTAIDRATADO 200 MCG/ML (20 MG/ML) SOLUÇÃO INJETÁVEL</t>
  </si>
  <si>
    <t>101) TIAMAZOL 10 MG COMPRIMIDO</t>
  </si>
  <si>
    <t>102) TIAMAZOL 5 MG COMPRIMIDO</t>
  </si>
  <si>
    <t>103) TIAMINA (VITAMINA B1) CLORIDRATO 300 MG COMPRIMIDO REVESTIDO</t>
  </si>
  <si>
    <t>104) TIMOLOL MALEATO 5 MG/ML SOLUCAO OFTALMICA</t>
  </si>
  <si>
    <t>105) ÁGUA DESTILADA, BIDESTILADA, ESTÉRIL, APIROGÊNICA AMPOLA 10 ML</t>
  </si>
  <si>
    <t>106) ÁGUA DESTILADA, BIDESTILADA, ESTÉRIL, APIROGÊNICA AMPOLA 5 ML</t>
  </si>
  <si>
    <t>107) ÁGUA DESTILADA, BIDESTILADA, ESTÉRIL, APIROGÊNICA BOLSA OU FRASCO 100 ML</t>
  </si>
  <si>
    <t>108) ÁGUA DESTILADA, BIDESTILADA, ESTÉRIL, APIROGÊNICA BOLSA OU FRASCO 500 ML</t>
  </si>
  <si>
    <r>
      <rPr>
        <b/>
        <sz val="10"/>
        <rFont val="Calibri"/>
        <family val="2"/>
      </rPr>
      <t>Fornecedor:</t>
    </r>
  </si>
  <si>
    <r>
      <rPr>
        <sz val="10"/>
        <rFont val="Calibri"/>
        <family val="2"/>
      </rPr>
      <t>ACACIA COMERCIO DE MEDICAMENTOS LTDA</t>
    </r>
  </si>
  <si>
    <r>
      <rPr>
        <b/>
        <sz val="8"/>
        <rFont val="Calibri"/>
        <family val="2"/>
      </rPr>
      <t>Item</t>
    </r>
  </si>
  <si>
    <r>
      <rPr>
        <b/>
        <sz val="8"/>
        <rFont val="Calibri"/>
        <family val="2"/>
      </rPr>
      <t>Qtde</t>
    </r>
  </si>
  <si>
    <r>
      <rPr>
        <b/>
        <sz val="8"/>
        <rFont val="Calibri"/>
        <family val="2"/>
      </rPr>
      <t>Unidade</t>
    </r>
  </si>
  <si>
    <r>
      <rPr>
        <b/>
        <sz val="8"/>
        <rFont val="Calibri"/>
        <family val="2"/>
      </rPr>
      <t>Material/Serviço</t>
    </r>
  </si>
  <si>
    <r>
      <rPr>
        <b/>
        <sz val="8"/>
        <rFont val="Calibri"/>
        <family val="2"/>
      </rPr>
      <t>Preço Unit.</t>
    </r>
  </si>
  <si>
    <r>
      <rPr>
        <b/>
        <sz val="8"/>
        <rFont val="Calibri"/>
        <family val="2"/>
      </rPr>
      <t>Preço Total</t>
    </r>
  </si>
  <si>
    <r>
      <rPr>
        <sz val="8"/>
        <rFont val="Calibri"/>
        <family val="2"/>
      </rPr>
      <t>003</t>
    </r>
  </si>
  <si>
    <r>
      <rPr>
        <sz val="8"/>
        <rFont val="Calibri"/>
        <family val="2"/>
      </rPr>
      <t>comprimido</t>
    </r>
  </si>
  <si>
    <r>
      <rPr>
        <sz val="8"/>
        <rFont val="Calibri"/>
        <family val="2"/>
      </rPr>
      <t>027</t>
    </r>
  </si>
  <si>
    <r>
      <rPr>
        <sz val="8"/>
        <rFont val="Calibri"/>
        <family val="2"/>
      </rPr>
      <t>frasco</t>
    </r>
  </si>
  <si>
    <r>
      <rPr>
        <sz val="8"/>
        <rFont val="Calibri"/>
        <family val="2"/>
      </rPr>
      <t xml:space="preserve">85871 - BECLOMETASONA 250MG AEROSSOL (GLENMARK 1101302770011) </t>
    </r>
  </si>
  <si>
    <r>
      <rPr>
        <sz val="8"/>
        <rFont val="Calibri"/>
        <family val="2"/>
      </rPr>
      <t>038</t>
    </r>
  </si>
  <si>
    <r>
      <rPr>
        <sz val="8"/>
        <rFont val="Calibri"/>
        <family val="2"/>
      </rPr>
      <t xml:space="preserve">71183 - CARBAMAZEPINA 20MG/ML FRASCO (HIPOLABOR 1134302030049) </t>
    </r>
  </si>
  <si>
    <r>
      <rPr>
        <sz val="8"/>
        <rFont val="Calibri"/>
        <family val="2"/>
      </rPr>
      <t>043</t>
    </r>
  </si>
  <si>
    <r>
      <rPr>
        <sz val="8"/>
        <rFont val="Calibri"/>
        <family val="2"/>
      </rPr>
      <t xml:space="preserve">90867 - CARVEDILOL 6,25MG COMPRIMIDO comp (EMS S/A 1023510730110) </t>
    </r>
  </si>
  <si>
    <r>
      <rPr>
        <sz val="8"/>
        <rFont val="Calibri"/>
        <family val="2"/>
      </rPr>
      <t>054</t>
    </r>
  </si>
  <si>
    <r>
      <rPr>
        <sz val="8"/>
        <rFont val="Calibri"/>
        <family val="2"/>
      </rPr>
      <t xml:space="preserve">90877 - CLARITROMICINA 500MG COMPRIMIDO (EMS S/A 1023504820154) </t>
    </r>
  </si>
  <si>
    <r>
      <rPr>
        <sz val="8"/>
        <rFont val="Calibri"/>
        <family val="2"/>
      </rPr>
      <t>106</t>
    </r>
  </si>
  <si>
    <r>
      <rPr>
        <sz val="8"/>
        <rFont val="Calibri"/>
        <family val="2"/>
      </rPr>
      <t xml:space="preserve">90919 - LEVOTIROXINA 100MCG  COMPRIMIDO (MERCK 1008902020707) </t>
    </r>
  </si>
  <si>
    <r>
      <rPr>
        <sz val="8"/>
        <rFont val="Calibri"/>
        <family val="2"/>
      </rPr>
      <t>107</t>
    </r>
  </si>
  <si>
    <r>
      <rPr>
        <sz val="8"/>
        <rFont val="Calibri"/>
        <family val="2"/>
      </rPr>
      <t xml:space="preserve">90920 - LEVOTIROXINA 25MCG  COMPRIMIDO (MERCK 1008902020618) </t>
    </r>
  </si>
  <si>
    <r>
      <rPr>
        <sz val="8"/>
        <rFont val="Calibri"/>
        <family val="2"/>
      </rPr>
      <t>108</t>
    </r>
  </si>
  <si>
    <r>
      <rPr>
        <sz val="8"/>
        <rFont val="Calibri"/>
        <family val="2"/>
      </rPr>
      <t xml:space="preserve">90921 - LEVOTIROXINA 50MCG  COMPRIMIDO (MERCK 1008902020642) </t>
    </r>
  </si>
  <si>
    <r>
      <rPr>
        <sz val="8"/>
        <rFont val="Calibri"/>
        <family val="2"/>
      </rPr>
      <t>110</t>
    </r>
  </si>
  <si>
    <r>
      <rPr>
        <sz val="8"/>
        <rFont val="Calibri"/>
        <family val="2"/>
      </rPr>
      <t xml:space="preserve">90922 - LÍTIO (CARBONATO) 300MG COMPRIMIDO (BIOLAB 1097403090073) </t>
    </r>
  </si>
  <si>
    <r>
      <rPr>
        <sz val="8"/>
        <rFont val="Calibri"/>
        <family val="2"/>
      </rPr>
      <t>158</t>
    </r>
  </si>
  <si>
    <r>
      <rPr>
        <sz val="8"/>
        <rFont val="Calibri"/>
        <family val="2"/>
      </rPr>
      <t>pote</t>
    </r>
  </si>
  <si>
    <r>
      <rPr>
        <sz val="8"/>
        <rFont val="Calibri"/>
        <family val="2"/>
      </rPr>
      <t xml:space="preserve">90958 - SULFADIAZINA DE PRATA 1% CREME POTE 400G (NATIVITA 1476100230041) </t>
    </r>
  </si>
  <si>
    <r>
      <rPr>
        <sz val="8"/>
        <rFont val="Calibri"/>
        <family val="2"/>
      </rPr>
      <t>166</t>
    </r>
  </si>
  <si>
    <r>
      <rPr>
        <sz val="8"/>
        <rFont val="Calibri"/>
        <family val="2"/>
      </rPr>
      <t xml:space="preserve">75318 - VALPROATO DE SODIO 50MG/ML (HIPOLABOR 1134301420048) </t>
    </r>
  </si>
  <si>
    <r>
      <rPr>
        <sz val="8"/>
        <rFont val="Calibri"/>
        <family val="2"/>
      </rPr>
      <t>217</t>
    </r>
  </si>
  <si>
    <r>
      <rPr>
        <sz val="8"/>
        <rFont val="Calibri"/>
        <family val="2"/>
      </rPr>
      <t>unidade</t>
    </r>
  </si>
  <si>
    <r>
      <rPr>
        <sz val="8"/>
        <rFont val="Calibri"/>
        <family val="2"/>
      </rPr>
      <t xml:space="preserve">82071 - METROPOLOL TARTARATO 1MG/ML SO (HALEX ISTAR 1031101720012) </t>
    </r>
  </si>
  <si>
    <r>
      <rPr>
        <sz val="8"/>
        <rFont val="Calibri"/>
        <family val="2"/>
      </rPr>
      <t>239</t>
    </r>
  </si>
  <si>
    <r>
      <rPr>
        <sz val="8"/>
        <rFont val="Calibri"/>
        <family val="2"/>
      </rPr>
      <t xml:space="preserve">85983 - RISPERIDONA 1MG SOL ORAL 20ML (PRATI DONADUZZI 1256802320078) </t>
    </r>
  </si>
  <si>
    <r>
      <rPr>
        <b/>
        <sz val="8"/>
        <rFont val="Calibri"/>
        <family val="2"/>
      </rPr>
      <t>Valor Total:</t>
    </r>
  </si>
  <si>
    <r>
      <rPr>
        <sz val="10"/>
        <rFont val="Calibri"/>
        <family val="2"/>
      </rPr>
      <t>ATIVA MEDICO CIRURGICA LTDA</t>
    </r>
  </si>
  <si>
    <r>
      <rPr>
        <sz val="8"/>
        <rFont val="Calibri"/>
        <family val="2"/>
      </rPr>
      <t>055</t>
    </r>
  </si>
  <si>
    <r>
      <rPr>
        <sz val="8"/>
        <rFont val="Calibri"/>
        <family val="2"/>
      </rPr>
      <t>90878 - CLOMIPRAMINA 25MG COMPRIMIDO.</t>
    </r>
  </si>
  <si>
    <r>
      <rPr>
        <sz val="8"/>
        <rFont val="Calibri"/>
        <family val="2"/>
      </rPr>
      <t>061</t>
    </r>
  </si>
  <si>
    <r>
      <rPr>
        <sz val="8"/>
        <rFont val="Calibri"/>
        <family val="2"/>
      </rPr>
      <t xml:space="preserve">90882 - CLORPROMAZINA 100MG  COMPRIMIDO REVESTIDO.. (UNIAO QUIMICA) </t>
    </r>
  </si>
  <si>
    <r>
      <rPr>
        <sz val="10"/>
        <rFont val="Calibri"/>
        <family val="2"/>
      </rPr>
      <t>COFARMINAS COMERCIO DE PRODUTOS FARMACEUTICOS LTDA</t>
    </r>
  </si>
  <si>
    <r>
      <rPr>
        <sz val="8"/>
        <rFont val="Calibri"/>
        <family val="2"/>
      </rPr>
      <t>016</t>
    </r>
  </si>
  <si>
    <r>
      <rPr>
        <sz val="8"/>
        <rFont val="Calibri"/>
        <family val="2"/>
      </rPr>
      <t xml:space="preserve">90850 - AMITRIPTILINA 25MG COMPRIMIDO (BRAINFARMA) </t>
    </r>
  </si>
  <si>
    <r>
      <rPr>
        <sz val="8"/>
        <rFont val="Calibri"/>
        <family val="2"/>
      </rPr>
      <t>035</t>
    </r>
  </si>
  <si>
    <r>
      <rPr>
        <sz val="8"/>
        <rFont val="Calibri"/>
        <family val="2"/>
      </rPr>
      <t xml:space="preserve">90860 - BUPROPIONA 150 MG COMPRIMIDOS REVESTIDOS DE LIBERAÇÃO PROLONGADA (EMS) </t>
    </r>
  </si>
  <si>
    <r>
      <rPr>
        <sz val="8"/>
        <rFont val="Calibri"/>
        <family val="2"/>
      </rPr>
      <t>050</t>
    </r>
  </si>
  <si>
    <r>
      <rPr>
        <sz val="8"/>
        <rFont val="Calibri"/>
        <family val="2"/>
      </rPr>
      <t xml:space="preserve">90873 - CIPROFIBRATO 100MG COMP .. (GLOBO) </t>
    </r>
  </si>
  <si>
    <r>
      <rPr>
        <sz val="8"/>
        <rFont val="Calibri"/>
        <family val="2"/>
      </rPr>
      <t>056</t>
    </r>
  </si>
  <si>
    <r>
      <rPr>
        <sz val="8"/>
        <rFont val="Calibri"/>
        <family val="2"/>
      </rPr>
      <t xml:space="preserve">75216 - CLONAZEPAM 2,5MG/ML FRASCO20ML (HIPOLABOR) </t>
    </r>
  </si>
  <si>
    <r>
      <rPr>
        <sz val="8"/>
        <rFont val="Calibri"/>
        <family val="2"/>
      </rPr>
      <t>074</t>
    </r>
  </si>
  <si>
    <r>
      <rPr>
        <sz val="8"/>
        <rFont val="Calibri"/>
        <family val="2"/>
      </rPr>
      <t xml:space="preserve">90891 - DILTIAZEM 30MG COMPRIMIDO comp (EMS) </t>
    </r>
  </si>
  <si>
    <r>
      <rPr>
        <sz val="8"/>
        <rFont val="Calibri"/>
        <family val="2"/>
      </rPr>
      <t>081</t>
    </r>
  </si>
  <si>
    <r>
      <rPr>
        <sz val="8"/>
        <rFont val="Calibri"/>
        <family val="2"/>
      </rPr>
      <t xml:space="preserve">90897 - ESCOPOLAMINA + DIPIRONA 10 + 250 MG COMPRIMIDO (BRAINFARMA) </t>
    </r>
  </si>
  <si>
    <r>
      <rPr>
        <sz val="8"/>
        <rFont val="Calibri"/>
        <family val="2"/>
      </rPr>
      <t>093</t>
    </r>
  </si>
  <si>
    <r>
      <rPr>
        <sz val="8"/>
        <rFont val="Calibri"/>
        <family val="2"/>
      </rPr>
      <t xml:space="preserve">75261 - HALOPERIDOL 2MG/ML FRASCO 20ML (UNIÃ?O QUÃ?MICA) </t>
    </r>
  </si>
  <si>
    <r>
      <rPr>
        <sz val="8"/>
        <rFont val="Calibri"/>
        <family val="2"/>
      </rPr>
      <t>097</t>
    </r>
  </si>
  <si>
    <r>
      <rPr>
        <sz val="8"/>
        <rFont val="Calibri"/>
        <family val="2"/>
      </rPr>
      <t xml:space="preserve">90912 - HIDROCLOROTIAZIDA 25MG COMPRIMIDO (BRAINFARMA) </t>
    </r>
  </si>
  <si>
    <r>
      <rPr>
        <sz val="8"/>
        <rFont val="Calibri"/>
        <family val="2"/>
      </rPr>
      <t>101</t>
    </r>
  </si>
  <si>
    <r>
      <rPr>
        <sz val="8"/>
        <rFont val="Calibri"/>
        <family val="2"/>
      </rPr>
      <t xml:space="preserve">81882 - IPATROPIO 0,25MG/ML FRACO 20ML (HIPOLABOR) </t>
    </r>
  </si>
  <si>
    <r>
      <rPr>
        <sz val="8"/>
        <rFont val="Calibri"/>
        <family val="2"/>
      </rPr>
      <t>121</t>
    </r>
  </si>
  <si>
    <r>
      <rPr>
        <sz val="8"/>
        <rFont val="Calibri"/>
        <family val="2"/>
      </rPr>
      <t xml:space="preserve">81896 - METOCLOPRAMIDA 4ML/ML GOTAS . (AIRELA) </t>
    </r>
  </si>
  <si>
    <r>
      <rPr>
        <sz val="8"/>
        <rFont val="Calibri"/>
        <family val="2"/>
      </rPr>
      <t>122</t>
    </r>
  </si>
  <si>
    <r>
      <rPr>
        <sz val="8"/>
        <rFont val="Calibri"/>
        <family val="2"/>
      </rPr>
      <t xml:space="preserve">71224 - METRONIDAZOL 100 MG/G GEL VAG (PRATI) </t>
    </r>
  </si>
  <si>
    <r>
      <rPr>
        <sz val="8"/>
        <rFont val="Calibri"/>
        <family val="2"/>
      </rPr>
      <t>140</t>
    </r>
  </si>
  <si>
    <r>
      <rPr>
        <sz val="8"/>
        <rFont val="Calibri"/>
        <family val="2"/>
      </rPr>
      <t xml:space="preserve">90942 - PREDNISONA 20MG  COMPRIMIDO (BRAINFARMA) </t>
    </r>
  </si>
  <si>
    <r>
      <rPr>
        <sz val="8"/>
        <rFont val="Calibri"/>
        <family val="2"/>
      </rPr>
      <t>165</t>
    </r>
  </si>
  <si>
    <r>
      <rPr>
        <sz val="8"/>
        <rFont val="Calibri"/>
        <family val="2"/>
      </rPr>
      <t xml:space="preserve">90964 - VALPROATO DE SÓDIO 500MG COMPRIMIDO REVESTIDO (BIOLAB) </t>
    </r>
  </si>
  <si>
    <r>
      <rPr>
        <sz val="8"/>
        <rFont val="Calibri"/>
        <family val="2"/>
      </rPr>
      <t>182</t>
    </r>
  </si>
  <si>
    <r>
      <rPr>
        <sz val="8"/>
        <rFont val="Calibri"/>
        <family val="2"/>
      </rPr>
      <t xml:space="preserve">86014 - CLORPROMAZINA 5MG/ INJ AMP 5ML (CRISTÃ?LIA) </t>
    </r>
  </si>
  <si>
    <r>
      <rPr>
        <sz val="8"/>
        <rFont val="Calibri"/>
        <family val="2"/>
      </rPr>
      <t>199</t>
    </r>
  </si>
  <si>
    <r>
      <rPr>
        <sz val="8"/>
        <rFont val="Calibri"/>
        <family val="2"/>
      </rPr>
      <t xml:space="preserve">84211 - GLICOSE 5% + CLO DE SODIO 0,99 (FARMARIN) </t>
    </r>
  </si>
  <si>
    <r>
      <rPr>
        <sz val="8"/>
        <rFont val="Calibri"/>
        <family val="2"/>
      </rPr>
      <t>200</t>
    </r>
  </si>
  <si>
    <r>
      <rPr>
        <sz val="8"/>
        <rFont val="Calibri"/>
        <family val="2"/>
      </rPr>
      <t xml:space="preserve">80481 - GLICOSE 25%SOLUCAO INJETAVEL (FARMACE) </t>
    </r>
  </si>
  <si>
    <r>
      <rPr>
        <sz val="8"/>
        <rFont val="Calibri"/>
        <family val="2"/>
      </rPr>
      <t>223</t>
    </r>
  </si>
  <si>
    <r>
      <rPr>
        <sz val="8"/>
        <rFont val="Calibri"/>
        <family val="2"/>
      </rPr>
      <t>frasco-ampola</t>
    </r>
  </si>
  <si>
    <r>
      <rPr>
        <sz val="8"/>
        <rFont val="Calibri"/>
        <family val="2"/>
      </rPr>
      <t xml:space="preserve">90977 - OMEPRAZOL 40MG PÓ PARA SOLUÇÃO INJETÁVEL + SOLUÇÃO DILUENTE 10ML (CRISTÃ?LIA) </t>
    </r>
  </si>
  <si>
    <r>
      <rPr>
        <sz val="8"/>
        <rFont val="Calibri"/>
        <family val="2"/>
      </rPr>
      <t>236</t>
    </r>
  </si>
  <si>
    <r>
      <rPr>
        <sz val="8"/>
        <rFont val="Calibri"/>
        <family val="2"/>
      </rPr>
      <t xml:space="preserve">85870 - BANDAGEM INELASTICA 10,2X9,14 (CASEX) </t>
    </r>
  </si>
  <si>
    <r>
      <rPr>
        <sz val="10"/>
        <rFont val="Calibri"/>
        <family val="2"/>
      </rPr>
      <t>DISTRIBEM MED. E MAT. HOSP. LTDA</t>
    </r>
  </si>
  <si>
    <r>
      <rPr>
        <sz val="8"/>
        <rFont val="Calibri"/>
        <family val="2"/>
      </rPr>
      <t>030</t>
    </r>
  </si>
  <si>
    <r>
      <rPr>
        <sz val="8"/>
        <rFont val="Calibri"/>
        <family val="2"/>
      </rPr>
      <t>90858 - BIPERIDENO CLORIDRATO 2MG COMPRIMIDO</t>
    </r>
  </si>
  <si>
    <r>
      <rPr>
        <sz val="8"/>
        <rFont val="Calibri"/>
        <family val="2"/>
      </rPr>
      <t>034</t>
    </r>
  </si>
  <si>
    <r>
      <rPr>
        <sz val="8"/>
        <rFont val="Calibri"/>
        <family val="2"/>
      </rPr>
      <t xml:space="preserve">82093 - BUDESONIDA 50MCG SUSP.NASAL- (EUROFARMA) </t>
    </r>
  </si>
  <si>
    <r>
      <rPr>
        <sz val="8"/>
        <rFont val="Calibri"/>
        <family val="2"/>
      </rPr>
      <t>049</t>
    </r>
  </si>
  <si>
    <r>
      <rPr>
        <sz val="8"/>
        <rFont val="Calibri"/>
        <family val="2"/>
      </rPr>
      <t xml:space="preserve">90872 - CINARIZINA 25MG COMPRIMIDO COMPRIMIDO (RANBAXY) </t>
    </r>
  </si>
  <si>
    <r>
      <rPr>
        <sz val="8"/>
        <rFont val="Calibri"/>
        <family val="2"/>
      </rPr>
      <t>086</t>
    </r>
  </si>
  <si>
    <r>
      <rPr>
        <sz val="8"/>
        <rFont val="Calibri"/>
        <family val="2"/>
      </rPr>
      <t xml:space="preserve">90903 - FENITOINA 100MG COMPRIMIDO (TEUTO) </t>
    </r>
  </si>
  <si>
    <r>
      <rPr>
        <sz val="8"/>
        <rFont val="Calibri"/>
        <family val="2"/>
      </rPr>
      <t>137</t>
    </r>
  </si>
  <si>
    <r>
      <rPr>
        <sz val="8"/>
        <rFont val="Calibri"/>
        <family val="2"/>
      </rPr>
      <t xml:space="preserve">90941 - PAROXETINA 20MG COMPRIMIDO REVESTIDO (TEUTO) </t>
    </r>
  </si>
  <si>
    <r>
      <rPr>
        <sz val="8"/>
        <rFont val="Calibri"/>
        <family val="2"/>
      </rPr>
      <t>205</t>
    </r>
  </si>
  <si>
    <r>
      <rPr>
        <sz val="8"/>
        <rFont val="Calibri"/>
        <family val="2"/>
      </rPr>
      <t xml:space="preserve">82008 - HALOPERIDOL DECANOATA 70,52MG (UNIAO QUIMICA) </t>
    </r>
  </si>
  <si>
    <r>
      <rPr>
        <sz val="8"/>
        <rFont val="Calibri"/>
        <family val="2"/>
      </rPr>
      <t>221</t>
    </r>
  </si>
  <si>
    <r>
      <rPr>
        <sz val="8"/>
        <rFont val="Calibri"/>
        <family val="2"/>
      </rPr>
      <t xml:space="preserve">86055 - NITROPRUSSETO 50MG AMPOLA 2ML (HYPOFARMA) </t>
    </r>
  </si>
  <si>
    <r>
      <rPr>
        <sz val="10"/>
        <rFont val="Calibri"/>
        <family val="2"/>
      </rPr>
      <t>DISTRIBUIDORA DE MEDICAMENTOS SANTA BARBARA LTDA</t>
    </r>
  </si>
  <si>
    <r>
      <rPr>
        <sz val="8"/>
        <rFont val="Calibri"/>
        <family val="2"/>
      </rPr>
      <t>001</t>
    </r>
  </si>
  <si>
    <r>
      <rPr>
        <sz val="8"/>
        <rFont val="Calibri"/>
        <family val="2"/>
      </rPr>
      <t xml:space="preserve">84170 - ACEBROFILINA 10MG XAROPE 120ML (cimed) </t>
    </r>
  </si>
  <si>
    <r>
      <rPr>
        <sz val="8"/>
        <rFont val="Calibri"/>
        <family val="2"/>
      </rPr>
      <t>004</t>
    </r>
  </si>
  <si>
    <r>
      <rPr>
        <sz val="8"/>
        <rFont val="Calibri"/>
        <family val="2"/>
      </rPr>
      <t>014</t>
    </r>
  </si>
  <si>
    <r>
      <rPr>
        <sz val="8"/>
        <rFont val="Calibri"/>
        <family val="2"/>
      </rPr>
      <t xml:space="preserve">71197 - AMBROXOL 3MG-ML XAROPE 120 ML (farmace) </t>
    </r>
  </si>
  <si>
    <r>
      <rPr>
        <sz val="8"/>
        <rFont val="Calibri"/>
        <family val="2"/>
      </rPr>
      <t>015</t>
    </r>
  </si>
  <si>
    <r>
      <rPr>
        <sz val="8"/>
        <rFont val="Calibri"/>
        <family val="2"/>
      </rPr>
      <t xml:space="preserve">75341 - AMBROXOL 6MG/ML XAROPE 120ML (farmace) </t>
    </r>
  </si>
  <si>
    <r>
      <rPr>
        <sz val="8"/>
        <rFont val="Calibri"/>
        <family val="2"/>
      </rPr>
      <t>023</t>
    </r>
  </si>
  <si>
    <r>
      <rPr>
        <sz val="8"/>
        <rFont val="Calibri"/>
        <family val="2"/>
      </rPr>
      <t xml:space="preserve">90855 - ATENOLOL 25 MG. (prati donaduzzi) </t>
    </r>
  </si>
  <si>
    <r>
      <rPr>
        <sz val="8"/>
        <rFont val="Calibri"/>
        <family val="2"/>
      </rPr>
      <t>048</t>
    </r>
  </si>
  <si>
    <r>
      <rPr>
        <sz val="8"/>
        <rFont val="Calibri"/>
        <family val="2"/>
      </rPr>
      <t xml:space="preserve">90871 - CICLOBENZAPRINA 10MG COMPRIMIDO. (cimed) </t>
    </r>
  </si>
  <si>
    <r>
      <rPr>
        <sz val="8"/>
        <rFont val="Calibri"/>
        <family val="2"/>
      </rPr>
      <t>064</t>
    </r>
  </si>
  <si>
    <r>
      <rPr>
        <sz val="8"/>
        <rFont val="Calibri"/>
        <family val="2"/>
      </rPr>
      <t xml:space="preserve">71334 - COLAGENASE CONCENT 0,6UI/G USO (cristalia) </t>
    </r>
  </si>
  <si>
    <r>
      <rPr>
        <sz val="8"/>
        <rFont val="Calibri"/>
        <family val="2"/>
      </rPr>
      <t>078</t>
    </r>
  </si>
  <si>
    <r>
      <rPr>
        <sz val="8"/>
        <rFont val="Calibri"/>
        <family val="2"/>
      </rPr>
      <t xml:space="preserve">90894 - ENALAPRIL 10MG COMPRIMIDO (cimed) </t>
    </r>
  </si>
  <si>
    <r>
      <rPr>
        <sz val="8"/>
        <rFont val="Calibri"/>
        <family val="2"/>
      </rPr>
      <t>079</t>
    </r>
  </si>
  <si>
    <r>
      <rPr>
        <sz val="8"/>
        <rFont val="Calibri"/>
        <family val="2"/>
      </rPr>
      <t xml:space="preserve">90895 - ENALAPRIL 20MG COMPRIMIDO (cimed) </t>
    </r>
  </si>
  <si>
    <r>
      <rPr>
        <sz val="8"/>
        <rFont val="Calibri"/>
        <family val="2"/>
      </rPr>
      <t>092</t>
    </r>
  </si>
  <si>
    <r>
      <rPr>
        <sz val="8"/>
        <rFont val="Calibri"/>
        <family val="2"/>
      </rPr>
      <t xml:space="preserve">90908 - GLIBENCLAMIDA 5MG COMPRIMIDO. (medquimica) </t>
    </r>
  </si>
  <si>
    <r>
      <rPr>
        <sz val="8"/>
        <rFont val="Calibri"/>
        <family val="2"/>
      </rPr>
      <t>109</t>
    </r>
  </si>
  <si>
    <r>
      <rPr>
        <sz val="8"/>
        <rFont val="Calibri"/>
        <family val="2"/>
      </rPr>
      <t xml:space="preserve">81945 - LIDOCAINA CLORIDR.2%GELEIA (pharlab) </t>
    </r>
  </si>
  <si>
    <r>
      <rPr>
        <sz val="8"/>
        <rFont val="Calibri"/>
        <family val="2"/>
      </rPr>
      <t>112</t>
    </r>
  </si>
  <si>
    <r>
      <rPr>
        <sz val="8"/>
        <rFont val="Calibri"/>
        <family val="2"/>
      </rPr>
      <t xml:space="preserve">75278 - LORATADINA 1MG/ML XAROPE FR100 (cimed) </t>
    </r>
  </si>
  <si>
    <r>
      <rPr>
        <sz val="8"/>
        <rFont val="Calibri"/>
        <family val="2"/>
      </rPr>
      <t>117</t>
    </r>
  </si>
  <si>
    <r>
      <rPr>
        <sz val="8"/>
        <rFont val="Calibri"/>
        <family val="2"/>
      </rPr>
      <t xml:space="preserve">90928 - METILDOPA 250MG COMPRIMIDO (hipolabor) </t>
    </r>
  </si>
  <si>
    <r>
      <rPr>
        <sz val="8"/>
        <rFont val="Calibri"/>
        <family val="2"/>
      </rPr>
      <t>126</t>
    </r>
  </si>
  <si>
    <r>
      <rPr>
        <sz val="8"/>
        <rFont val="Calibri"/>
        <family val="2"/>
      </rPr>
      <t xml:space="preserve">82036 - NEOMICINA+BACITRACINA 5MG+250U (belfar) </t>
    </r>
  </si>
  <si>
    <r>
      <rPr>
        <sz val="8"/>
        <rFont val="Calibri"/>
        <family val="2"/>
      </rPr>
      <t>135</t>
    </r>
  </si>
  <si>
    <r>
      <rPr>
        <sz val="8"/>
        <rFont val="Calibri"/>
        <family val="2"/>
      </rPr>
      <t xml:space="preserve">81902 - PARACETAMOL 200MG/ML SOL.20ML (farmace) </t>
    </r>
  </si>
  <si>
    <r>
      <rPr>
        <sz val="8"/>
        <rFont val="Calibri"/>
        <family val="2"/>
      </rPr>
      <t>139</t>
    </r>
  </si>
  <si>
    <r>
      <rPr>
        <sz val="8"/>
        <rFont val="Calibri"/>
        <family val="2"/>
      </rPr>
      <t xml:space="preserve">85975 - PREDNISOLONA 3MG SOL. ORAL (hipolabor) </t>
    </r>
  </si>
  <si>
    <r>
      <rPr>
        <sz val="8"/>
        <rFont val="Calibri"/>
        <family val="2"/>
      </rPr>
      <t>142</t>
    </r>
  </si>
  <si>
    <r>
      <rPr>
        <sz val="8"/>
        <rFont val="Calibri"/>
        <family val="2"/>
      </rPr>
      <t xml:space="preserve">90944 - PROMETAZINA 25MG COMPRIMIDO (teuto) </t>
    </r>
  </si>
  <si>
    <r>
      <rPr>
        <sz val="8"/>
        <rFont val="Calibri"/>
        <family val="2"/>
      </rPr>
      <t>154</t>
    </r>
  </si>
  <si>
    <r>
      <rPr>
        <sz val="8"/>
        <rFont val="Calibri"/>
        <family val="2"/>
      </rPr>
      <t xml:space="preserve">85988 - SIMETICONA 75MG EMULSAO 20ML (ems) </t>
    </r>
  </si>
  <si>
    <r>
      <rPr>
        <sz val="8"/>
        <rFont val="Calibri"/>
        <family val="2"/>
      </rPr>
      <t>155</t>
    </r>
  </si>
  <si>
    <r>
      <rPr>
        <sz val="8"/>
        <rFont val="Calibri"/>
        <family val="2"/>
      </rPr>
      <t xml:space="preserve">90955 - SINVASTATINA 10MG COMPRIMIDO (pharlab) </t>
    </r>
  </si>
  <si>
    <r>
      <rPr>
        <sz val="8"/>
        <rFont val="Calibri"/>
        <family val="2"/>
      </rPr>
      <t>162</t>
    </r>
  </si>
  <si>
    <r>
      <rPr>
        <sz val="8"/>
        <rFont val="Calibri"/>
        <family val="2"/>
      </rPr>
      <t xml:space="preserve">90961 - SULFATO FERROSO 40MG COMPRIMIDO REVESTIDO (belfar) </t>
    </r>
  </si>
  <si>
    <r>
      <rPr>
        <sz val="8"/>
        <rFont val="Calibri"/>
        <family val="2"/>
      </rPr>
      <t>168</t>
    </r>
  </si>
  <si>
    <r>
      <rPr>
        <sz val="8"/>
        <rFont val="Calibri"/>
        <family val="2"/>
      </rPr>
      <t xml:space="preserve">71235 - ACIDO ASCORBICO 100MG/ML INJET (santisa) </t>
    </r>
  </si>
  <si>
    <r>
      <rPr>
        <sz val="8"/>
        <rFont val="Calibri"/>
        <family val="2"/>
      </rPr>
      <t>181</t>
    </r>
  </si>
  <si>
    <r>
      <rPr>
        <sz val="8"/>
        <rFont val="Calibri"/>
        <family val="2"/>
      </rPr>
      <t xml:space="preserve">90967 - CLORETO DE SÓDIO 0,9% SOLUÇÃO INJETAVEL AMPOLA 10ML (equiplex) </t>
    </r>
  </si>
  <si>
    <r>
      <rPr>
        <sz val="8"/>
        <rFont val="Calibri"/>
        <family val="2"/>
      </rPr>
      <t>186</t>
    </r>
  </si>
  <si>
    <r>
      <rPr>
        <sz val="8"/>
        <rFont val="Calibri"/>
        <family val="2"/>
      </rPr>
      <t xml:space="preserve">82122 - DIPIRONA MONOIDRATADA 500ML/ML (teuto) </t>
    </r>
  </si>
  <si>
    <r>
      <rPr>
        <sz val="8"/>
        <rFont val="Calibri"/>
        <family val="2"/>
      </rPr>
      <t>002</t>
    </r>
  </si>
  <si>
    <r>
      <rPr>
        <sz val="8"/>
        <rFont val="Calibri"/>
        <family val="2"/>
      </rPr>
      <t>008</t>
    </r>
  </si>
  <si>
    <r>
      <rPr>
        <sz val="8"/>
        <rFont val="Calibri"/>
        <family val="2"/>
      </rPr>
      <t xml:space="preserve">90845 - ALBENDAZOL 400MG COMPRIMIDO MASTIGÁVEL (PRATI-NACIONAL) </t>
    </r>
  </si>
  <si>
    <r>
      <rPr>
        <sz val="8"/>
        <rFont val="Calibri"/>
        <family val="2"/>
      </rPr>
      <t>012</t>
    </r>
  </si>
  <si>
    <r>
      <rPr>
        <sz val="8"/>
        <rFont val="Calibri"/>
        <family val="2"/>
      </rPr>
      <t xml:space="preserve">90848 - ALOPURINOL 300MG COMPRIMIDO. (PRATI-NACIONAL) </t>
    </r>
  </si>
  <si>
    <r>
      <rPr>
        <sz val="8"/>
        <rFont val="Calibri"/>
        <family val="2"/>
      </rPr>
      <t>021</t>
    </r>
  </si>
  <si>
    <r>
      <rPr>
        <sz val="8"/>
        <rFont val="Calibri"/>
        <family val="2"/>
      </rPr>
      <t xml:space="preserve">76095 - AMOXICILINA 50MG/ML SUSPENSAO (PRATI-NACIONAL) </t>
    </r>
  </si>
  <si>
    <r>
      <rPr>
        <sz val="8"/>
        <rFont val="Calibri"/>
        <family val="2"/>
      </rPr>
      <t>022</t>
    </r>
  </si>
  <si>
    <r>
      <rPr>
        <sz val="8"/>
        <rFont val="Calibri"/>
        <family val="2"/>
      </rPr>
      <t xml:space="preserve">90854 - ANLODIPINO 5MG. (GEOLAB-NACIONAL) </t>
    </r>
  </si>
  <si>
    <r>
      <rPr>
        <sz val="8"/>
        <rFont val="Calibri"/>
        <family val="2"/>
      </rPr>
      <t>029</t>
    </r>
  </si>
  <si>
    <r>
      <rPr>
        <sz val="8"/>
        <rFont val="Calibri"/>
        <family val="2"/>
      </rPr>
      <t xml:space="preserve">81958 - BENZILPENICILINA 600.000UI . (TEUTO-NACIONAL) </t>
    </r>
  </si>
  <si>
    <r>
      <rPr>
        <sz val="8"/>
        <rFont val="Calibri"/>
        <family val="2"/>
      </rPr>
      <t>031</t>
    </r>
  </si>
  <si>
    <r>
      <rPr>
        <sz val="8"/>
        <rFont val="Calibri"/>
        <family val="2"/>
      </rPr>
      <t xml:space="preserve">90859 - BROMOPRIDA 10MG COMPRIMIDO.. (PRATI-NACIONAL) </t>
    </r>
  </si>
  <si>
    <r>
      <rPr>
        <sz val="8"/>
        <rFont val="Calibri"/>
        <family val="2"/>
      </rPr>
      <t>032</t>
    </r>
  </si>
  <si>
    <r>
      <rPr>
        <sz val="8"/>
        <rFont val="Calibri"/>
        <family val="2"/>
      </rPr>
      <t xml:space="preserve">75344 - BROMOPRIDA 4MG/ML FRASCO 20ML (AIRELA-NACIONAL) </t>
    </r>
  </si>
  <si>
    <r>
      <rPr>
        <sz val="8"/>
        <rFont val="Calibri"/>
        <family val="2"/>
      </rPr>
      <t>044</t>
    </r>
  </si>
  <si>
    <r>
      <rPr>
        <sz val="8"/>
        <rFont val="Calibri"/>
        <family val="2"/>
      </rPr>
      <t xml:space="preserve">82094 - CEFALEXINA 250MG/5ML PO SUSP.O (TEUTO-NACIONAL) </t>
    </r>
  </si>
  <si>
    <r>
      <rPr>
        <sz val="8"/>
        <rFont val="Calibri"/>
        <family val="2"/>
      </rPr>
      <t>051</t>
    </r>
  </si>
  <si>
    <r>
      <rPr>
        <sz val="8"/>
        <rFont val="Calibri"/>
        <family val="2"/>
      </rPr>
      <t xml:space="preserve">90874 - CIPROFLOXACINO 500MG COMPRIMIDO (PRATI-NACIONAL) </t>
    </r>
  </si>
  <si>
    <r>
      <rPr>
        <sz val="8"/>
        <rFont val="Calibri"/>
        <family val="2"/>
      </rPr>
      <t>052</t>
    </r>
  </si>
  <si>
    <r>
      <rPr>
        <sz val="8"/>
        <rFont val="Calibri"/>
        <family val="2"/>
      </rPr>
      <t xml:space="preserve">90875 - CITALOPRAM 20MG COMPRIMIDO. (PRATI-NACIONAL) </t>
    </r>
  </si>
  <si>
    <r>
      <rPr>
        <sz val="8"/>
        <rFont val="Calibri"/>
        <family val="2"/>
      </rPr>
      <t>067</t>
    </r>
  </si>
  <si>
    <r>
      <rPr>
        <sz val="8"/>
        <rFont val="Calibri"/>
        <family val="2"/>
      </rPr>
      <t xml:space="preserve">71122 - DEXAMETASONA 1MG/ML BISNAGA (PRATI-NACIONAL) </t>
    </r>
  </si>
  <si>
    <r>
      <rPr>
        <sz val="8"/>
        <rFont val="Calibri"/>
        <family val="2"/>
      </rPr>
      <t>068</t>
    </r>
  </si>
  <si>
    <r>
      <rPr>
        <sz val="8"/>
        <rFont val="Calibri"/>
        <family val="2"/>
      </rPr>
      <t xml:space="preserve">90886 - DEXAMETASONA 4MG COMPRIMIDO. (TEUTO-NACIONAL) </t>
    </r>
  </si>
  <si>
    <r>
      <rPr>
        <sz val="8"/>
        <rFont val="Calibri"/>
        <family val="2"/>
      </rPr>
      <t>077</t>
    </r>
  </si>
  <si>
    <r>
      <rPr>
        <sz val="8"/>
        <rFont val="Calibri"/>
        <family val="2"/>
      </rPr>
      <t xml:space="preserve">90893 - DOMPERIDONA 10MG COMPRIMIDO (CIMED-NACIONAL) </t>
    </r>
  </si>
  <si>
    <r>
      <rPr>
        <sz val="8"/>
        <rFont val="Calibri"/>
        <family val="2"/>
      </rPr>
      <t>089</t>
    </r>
  </si>
  <si>
    <r>
      <rPr>
        <sz val="8"/>
        <rFont val="Calibri"/>
        <family val="2"/>
      </rPr>
      <t xml:space="preserve">90905 - FLUCONAZOL 150MG COMPRIMIDO (BELFAR-NACIONAL) </t>
    </r>
  </si>
  <si>
    <r>
      <rPr>
        <sz val="8"/>
        <rFont val="Calibri"/>
        <family val="2"/>
      </rPr>
      <t>091</t>
    </r>
  </si>
  <si>
    <r>
      <rPr>
        <sz val="8"/>
        <rFont val="Calibri"/>
        <family val="2"/>
      </rPr>
      <t xml:space="preserve">90907 - FUROSEMIDA 40MG (PRATI-NACIONAL) </t>
    </r>
  </si>
  <si>
    <r>
      <rPr>
        <sz val="8"/>
        <rFont val="Calibri"/>
        <family val="2"/>
      </rPr>
      <t>099</t>
    </r>
  </si>
  <si>
    <r>
      <rPr>
        <sz val="8"/>
        <rFont val="Calibri"/>
        <family val="2"/>
      </rPr>
      <t xml:space="preserve">90914 - IBUPROFENO 600MG COMPRIMIDO. (PRATI-NACIONAL) </t>
    </r>
  </si>
  <si>
    <r>
      <rPr>
        <sz val="8"/>
        <rFont val="Calibri"/>
        <family val="2"/>
      </rPr>
      <t>111</t>
    </r>
  </si>
  <si>
    <r>
      <rPr>
        <sz val="8"/>
        <rFont val="Calibri"/>
        <family val="2"/>
      </rPr>
      <t xml:space="preserve">90923 - LORATADINA 10MG COMPRIMIDO.. (GEOLAB-NACIONAL) </t>
    </r>
  </si>
  <si>
    <r>
      <rPr>
        <sz val="8"/>
        <rFont val="Calibri"/>
        <family val="2"/>
      </rPr>
      <t>115</t>
    </r>
  </si>
  <si>
    <r>
      <rPr>
        <sz val="8"/>
        <rFont val="Calibri"/>
        <family val="2"/>
      </rPr>
      <t xml:space="preserve">90926 - METFORMINA 500 MG COMPRIMIDO (PRATI-NACIONAL) </t>
    </r>
  </si>
  <si>
    <r>
      <rPr>
        <sz val="8"/>
        <rFont val="Calibri"/>
        <family val="2"/>
      </rPr>
      <t>116</t>
    </r>
  </si>
  <si>
    <r>
      <rPr>
        <sz val="8"/>
        <rFont val="Calibri"/>
        <family val="2"/>
      </rPr>
      <t xml:space="preserve">90927 - METFORMINA 850MG COMPRIMIDO. (PRATI-NACIONAL) </t>
    </r>
  </si>
  <si>
    <r>
      <rPr>
        <sz val="8"/>
        <rFont val="Calibri"/>
        <family val="2"/>
      </rPr>
      <t>120</t>
    </r>
  </si>
  <si>
    <r>
      <rPr>
        <sz val="8"/>
        <rFont val="Calibri"/>
        <family val="2"/>
      </rPr>
      <t xml:space="preserve">90931 - METOCLOPRAMIDA 10MG  COMPRIMIDO (BELFAR-NACIONAL) </t>
    </r>
  </si>
  <si>
    <r>
      <rPr>
        <sz val="8"/>
        <rFont val="Calibri"/>
        <family val="2"/>
      </rPr>
      <t>123</t>
    </r>
  </si>
  <si>
    <r>
      <rPr>
        <sz val="8"/>
        <rFont val="Calibri"/>
        <family val="2"/>
      </rPr>
      <t xml:space="preserve">90932 - METRONIDAZOL 250MG  COMPRIMIDO (PRATI-NACIONAL) </t>
    </r>
  </si>
  <si>
    <r>
      <rPr>
        <sz val="8"/>
        <rFont val="Calibri"/>
        <family val="2"/>
      </rPr>
      <t>136</t>
    </r>
  </si>
  <si>
    <r>
      <rPr>
        <sz val="8"/>
        <rFont val="Calibri"/>
        <family val="2"/>
      </rPr>
      <t xml:space="preserve">90940 - PARACETAMOL 500MG  COMPRIMIDO (PRATI-NACIONAL) </t>
    </r>
  </si>
  <si>
    <r>
      <rPr>
        <sz val="8"/>
        <rFont val="Calibri"/>
        <family val="2"/>
      </rPr>
      <t>138</t>
    </r>
  </si>
  <si>
    <r>
      <rPr>
        <sz val="8"/>
        <rFont val="Calibri"/>
        <family val="2"/>
      </rPr>
      <t xml:space="preserve">75298 - PREDNISOLONA 1MG/ML FRASCO 100 (PRATI-NACIONAL) </t>
    </r>
  </si>
  <si>
    <r>
      <rPr>
        <sz val="8"/>
        <rFont val="Calibri"/>
        <family val="2"/>
      </rPr>
      <t>153</t>
    </r>
  </si>
  <si>
    <r>
      <rPr>
        <sz val="8"/>
        <rFont val="Calibri"/>
        <family val="2"/>
      </rPr>
      <t xml:space="preserve">90954 - SERTRALINA 50MG COMPRIMIDO REVESTIDO (PRATI-NACIONAL) </t>
    </r>
  </si>
  <si>
    <r>
      <rPr>
        <sz val="8"/>
        <rFont val="Calibri"/>
        <family val="2"/>
      </rPr>
      <t>160</t>
    </r>
  </si>
  <si>
    <r>
      <rPr>
        <sz val="8"/>
        <rFont val="Calibri"/>
        <family val="2"/>
      </rPr>
      <t xml:space="preserve">90960 - SULFAMETOXAZOL + TRIMETOPRIMA 400 + 80 MG COMPRIMIDO (BELFAR-NACIONAL) </t>
    </r>
  </si>
  <si>
    <r>
      <rPr>
        <sz val="8"/>
        <rFont val="Calibri"/>
        <family val="2"/>
      </rPr>
      <t>161</t>
    </r>
  </si>
  <si>
    <r>
      <rPr>
        <sz val="8"/>
        <rFont val="Calibri"/>
        <family val="2"/>
      </rPr>
      <t xml:space="preserve">83164 - SULFATO FERROSO 125MG/ML ORAL (AIRELA-NACIONAL) </t>
    </r>
  </si>
  <si>
    <r>
      <rPr>
        <sz val="8"/>
        <rFont val="Calibri"/>
        <family val="2"/>
      </rPr>
      <t>215</t>
    </r>
  </si>
  <si>
    <r>
      <rPr>
        <sz val="8"/>
        <rFont val="Calibri"/>
        <family val="2"/>
      </rPr>
      <t xml:space="preserve">86049 - MANITOL 20% 250ML (FRESENIUS-NACIONAL) </t>
    </r>
  </si>
  <si>
    <r>
      <rPr>
        <sz val="8"/>
        <rFont val="Calibri"/>
        <family val="2"/>
      </rPr>
      <t>211</t>
    </r>
  </si>
  <si>
    <r>
      <rPr>
        <sz val="8"/>
        <rFont val="Calibri"/>
        <family val="2"/>
      </rPr>
      <t>90974 - INSULINA GLULISINA - SOLUÇÃO INJETÁVEL - 100 U/ML. EMBALAGEM CONTENDO 1 OU 5 SISTEMA(S) DE APLICAÇÃO PREENCHIDO(S) COM 3 ML.</t>
    </r>
  </si>
  <si>
    <r>
      <rPr>
        <sz val="8"/>
        <rFont val="Calibri"/>
        <family val="2"/>
      </rPr>
      <t>011</t>
    </r>
  </si>
  <si>
    <r>
      <rPr>
        <sz val="8"/>
        <rFont val="Calibri"/>
        <family val="2"/>
      </rPr>
      <t xml:space="preserve">90847 - ALOPURINOL 100 MG COMPRIMIDO. (PRATI) </t>
    </r>
  </si>
  <si>
    <r>
      <rPr>
        <sz val="8"/>
        <rFont val="Calibri"/>
        <family val="2"/>
      </rPr>
      <t>026</t>
    </r>
  </si>
  <si>
    <r>
      <rPr>
        <sz val="8"/>
        <rFont val="Calibri"/>
        <family val="2"/>
      </rPr>
      <t xml:space="preserve">90857 - AZITROMICINA 500MG COMPRIMIDO REVESTIDO (GLOBO) </t>
    </r>
  </si>
  <si>
    <r>
      <rPr>
        <sz val="8"/>
        <rFont val="Calibri"/>
        <family val="2"/>
      </rPr>
      <t>045</t>
    </r>
  </si>
  <si>
    <r>
      <rPr>
        <sz val="8"/>
        <rFont val="Calibri"/>
        <family val="2"/>
      </rPr>
      <t xml:space="preserve">90868 - CEFALEXINA 500MG COMPRIMIDO comp (TEUTO) </t>
    </r>
  </si>
  <si>
    <r>
      <rPr>
        <sz val="8"/>
        <rFont val="Calibri"/>
        <family val="2"/>
      </rPr>
      <t>058</t>
    </r>
  </si>
  <si>
    <r>
      <rPr>
        <sz val="8"/>
        <rFont val="Calibri"/>
        <family val="2"/>
      </rPr>
      <t xml:space="preserve">90880 - CLOPIDROGEL 75 MG COMPRIMIDO. (GERMED) </t>
    </r>
  </si>
  <si>
    <r>
      <rPr>
        <sz val="8"/>
        <rFont val="Calibri"/>
        <family val="2"/>
      </rPr>
      <t>060</t>
    </r>
  </si>
  <si>
    <r>
      <rPr>
        <sz val="8"/>
        <rFont val="Calibri"/>
        <family val="2"/>
      </rPr>
      <t xml:space="preserve">75217 - CLORETO DE SODIO 9MG/ML SPRAY (NATULAB) </t>
    </r>
  </si>
  <si>
    <r>
      <rPr>
        <sz val="8"/>
        <rFont val="Calibri"/>
        <family val="2"/>
      </rPr>
      <t>072</t>
    </r>
  </si>
  <si>
    <r>
      <rPr>
        <sz val="8"/>
        <rFont val="Calibri"/>
        <family val="2"/>
      </rPr>
      <t xml:space="preserve">90889 - DICLOFENACO 50MG COMPRIMIDO (BELFAR) </t>
    </r>
  </si>
  <si>
    <r>
      <rPr>
        <sz val="8"/>
        <rFont val="Calibri"/>
        <family val="2"/>
      </rPr>
      <t>076</t>
    </r>
  </si>
  <si>
    <r>
      <rPr>
        <sz val="8"/>
        <rFont val="Calibri"/>
        <family val="2"/>
      </rPr>
      <t xml:space="preserve">81861 - DIPIRONA 500MG/ML SOLUCAO ORAL (NATULAB) </t>
    </r>
  </si>
  <si>
    <r>
      <rPr>
        <sz val="8"/>
        <rFont val="Calibri"/>
        <family val="2"/>
      </rPr>
      <t>082</t>
    </r>
  </si>
  <si>
    <r>
      <rPr>
        <sz val="8"/>
        <rFont val="Calibri"/>
        <family val="2"/>
      </rPr>
      <t xml:space="preserve">90898 - ESCOPOLAMINA + DIPIRONA 6,67 + 333,40MG/ML SOLUÇÃO ORAL FRASCO 20ML (NATULAB) </t>
    </r>
  </si>
  <si>
    <r>
      <rPr>
        <sz val="8"/>
        <rFont val="Calibri"/>
        <family val="2"/>
      </rPr>
      <t>083</t>
    </r>
  </si>
  <si>
    <r>
      <rPr>
        <sz val="8"/>
        <rFont val="Calibri"/>
        <family val="2"/>
      </rPr>
      <t xml:space="preserve">90899 - ESCOPOLAMINA 10MG COMPRIMIDO REVESTIDO (EMS) </t>
    </r>
  </si>
  <si>
    <r>
      <rPr>
        <sz val="8"/>
        <rFont val="Calibri"/>
        <family val="2"/>
      </rPr>
      <t>085</t>
    </r>
  </si>
  <si>
    <r>
      <rPr>
        <sz val="8"/>
        <rFont val="Calibri"/>
        <family val="2"/>
      </rPr>
      <t xml:space="preserve">90901 - ESPIRAMICINA 500 MG COMPRIMIDO REVESTIDO (EQUIVALENTE A 1.500.000UI) (SANOFI) </t>
    </r>
  </si>
  <si>
    <r>
      <rPr>
        <sz val="8"/>
        <rFont val="Calibri"/>
        <family val="2"/>
      </rPr>
      <t>087</t>
    </r>
  </si>
  <si>
    <r>
      <rPr>
        <sz val="8"/>
        <rFont val="Calibri"/>
        <family val="2"/>
      </rPr>
      <t xml:space="preserve">90904 - FENOBARBITAL 100MG  COMPRIMIDO (TEUTO) </t>
    </r>
  </si>
  <si>
    <r>
      <rPr>
        <sz val="8"/>
        <rFont val="Calibri"/>
        <family val="2"/>
      </rPr>
      <t>088</t>
    </r>
  </si>
  <si>
    <r>
      <rPr>
        <sz val="8"/>
        <rFont val="Calibri"/>
        <family val="2"/>
      </rPr>
      <t xml:space="preserve">81986 - FENOBARBITAL 40MG/ML SOL.ORAL (UNIÃ?O QUIMICA) </t>
    </r>
  </si>
  <si>
    <r>
      <rPr>
        <sz val="8"/>
        <rFont val="Calibri"/>
        <family val="2"/>
      </rPr>
      <t>095</t>
    </r>
  </si>
  <si>
    <r>
      <rPr>
        <sz val="8"/>
        <rFont val="Calibri"/>
        <family val="2"/>
      </rPr>
      <t xml:space="preserve">90910 - HIDRALAZINA 25MG COMPRIMIDO (NOVARTIS) </t>
    </r>
  </si>
  <si>
    <r>
      <rPr>
        <sz val="8"/>
        <rFont val="Calibri"/>
        <family val="2"/>
      </rPr>
      <t>102</t>
    </r>
  </si>
  <si>
    <r>
      <rPr>
        <sz val="8"/>
        <rFont val="Calibri"/>
        <family val="2"/>
      </rPr>
      <t xml:space="preserve">90916 - ISOSSORBIDA (DINITRATO DE) 5MG COMPRIMIDO SUBLINGUAL (EMS) </t>
    </r>
  </si>
  <si>
    <r>
      <rPr>
        <sz val="8"/>
        <rFont val="Calibri"/>
        <family val="2"/>
      </rPr>
      <t>113</t>
    </r>
  </si>
  <si>
    <r>
      <rPr>
        <sz val="8"/>
        <rFont val="Calibri"/>
        <family val="2"/>
      </rPr>
      <t xml:space="preserve">90924 - LOSARTANA 50MG COMPRIMIDO (NEOQUIMICA) </t>
    </r>
  </si>
  <si>
    <r>
      <rPr>
        <sz val="8"/>
        <rFont val="Calibri"/>
        <family val="2"/>
      </rPr>
      <t>118</t>
    </r>
  </si>
  <si>
    <r>
      <rPr>
        <sz val="8"/>
        <rFont val="Calibri"/>
        <family val="2"/>
      </rPr>
      <t xml:space="preserve">90929 - METILDOPA 500MG COMPRIMIDO (EMS) </t>
    </r>
  </si>
  <si>
    <r>
      <rPr>
        <sz val="8"/>
        <rFont val="Calibri"/>
        <family val="2"/>
      </rPr>
      <t>127</t>
    </r>
  </si>
  <si>
    <r>
      <rPr>
        <sz val="8"/>
        <rFont val="Calibri"/>
        <family val="2"/>
      </rPr>
      <t xml:space="preserve">90933 - NIFEDIPINO 20MG COMPRIMIDOS (MEDQUIMICA) </t>
    </r>
  </si>
  <si>
    <r>
      <rPr>
        <sz val="8"/>
        <rFont val="Calibri"/>
        <family val="2"/>
      </rPr>
      <t>128</t>
    </r>
  </si>
  <si>
    <r>
      <rPr>
        <sz val="8"/>
        <rFont val="Calibri"/>
        <family val="2"/>
      </rPr>
      <t xml:space="preserve">90934 - NIMESULIDA 100MG COMPRIMIDOS (CIMED) </t>
    </r>
  </si>
  <si>
    <r>
      <rPr>
        <sz val="8"/>
        <rFont val="Calibri"/>
        <family val="2"/>
      </rPr>
      <t>129</t>
    </r>
  </si>
  <si>
    <r>
      <rPr>
        <sz val="8"/>
        <rFont val="Calibri"/>
        <family val="2"/>
      </rPr>
      <t xml:space="preserve">71198 - NISTATINA 25000UI/G CREME VAG (TEUTO) </t>
    </r>
  </si>
  <si>
    <r>
      <rPr>
        <sz val="8"/>
        <rFont val="Calibri"/>
        <family val="2"/>
      </rPr>
      <t>130</t>
    </r>
  </si>
  <si>
    <r>
      <rPr>
        <sz val="8"/>
        <rFont val="Calibri"/>
        <family val="2"/>
      </rPr>
      <t>CAPSULA</t>
    </r>
  </si>
  <si>
    <r>
      <rPr>
        <sz val="8"/>
        <rFont val="Calibri"/>
        <family val="2"/>
      </rPr>
      <t xml:space="preserve">90935 - NITROFURANTOINA 100MG CAPSULA. (TEUTO) </t>
    </r>
  </si>
  <si>
    <r>
      <rPr>
        <sz val="8"/>
        <rFont val="Calibri"/>
        <family val="2"/>
      </rPr>
      <t>133</t>
    </r>
  </si>
  <si>
    <r>
      <rPr>
        <sz val="8"/>
        <rFont val="Calibri"/>
        <family val="2"/>
      </rPr>
      <t xml:space="preserve">90938 - OMEPRAZOL 20MG COMPRIMIDOS (GLOBO) </t>
    </r>
  </si>
  <si>
    <r>
      <rPr>
        <sz val="8"/>
        <rFont val="Calibri"/>
        <family val="2"/>
      </rPr>
      <t>134</t>
    </r>
  </si>
  <si>
    <r>
      <rPr>
        <sz val="8"/>
        <rFont val="Calibri"/>
        <family val="2"/>
      </rPr>
      <t xml:space="preserve">90939 - PANTOPRAZOL 40MG COMPRIMIDOS (CIMED) </t>
    </r>
  </si>
  <si>
    <r>
      <rPr>
        <sz val="8"/>
        <rFont val="Calibri"/>
        <family val="2"/>
      </rPr>
      <t>148</t>
    </r>
  </si>
  <si>
    <r>
      <rPr>
        <sz val="8"/>
        <rFont val="Calibri"/>
        <family val="2"/>
      </rPr>
      <t xml:space="preserve">90950 - RISPERIDONA 2 MG COMPRIMIDO REVESTIDO (GLOBO) </t>
    </r>
  </si>
  <si>
    <r>
      <rPr>
        <sz val="8"/>
        <rFont val="Calibri"/>
        <family val="2"/>
      </rPr>
      <t>149</t>
    </r>
  </si>
  <si>
    <r>
      <rPr>
        <sz val="8"/>
        <rFont val="Calibri"/>
        <family val="2"/>
      </rPr>
      <t xml:space="preserve">90951 - RISPERIDONA 3 MG COMPRIMIDO REVESTIDO (GLOBO) </t>
    </r>
  </si>
  <si>
    <r>
      <rPr>
        <sz val="8"/>
        <rFont val="Calibri"/>
        <family val="2"/>
      </rPr>
      <t>156</t>
    </r>
  </si>
  <si>
    <r>
      <rPr>
        <sz val="8"/>
        <rFont val="Calibri"/>
        <family val="2"/>
      </rPr>
      <t xml:space="preserve">90956 - SINVASTATINA 20MG COMPRIMIDO (GERMED) </t>
    </r>
  </si>
  <si>
    <r>
      <rPr>
        <sz val="8"/>
        <rFont val="Calibri"/>
        <family val="2"/>
      </rPr>
      <t>159</t>
    </r>
  </si>
  <si>
    <r>
      <rPr>
        <sz val="8"/>
        <rFont val="Calibri"/>
        <family val="2"/>
      </rPr>
      <t xml:space="preserve">90959 - SULFADIAZINA DE PRATA 1% CREME POTE 400G. (NATIVTA) </t>
    </r>
  </si>
  <si>
    <r>
      <rPr>
        <sz val="8"/>
        <rFont val="Calibri"/>
        <family val="2"/>
      </rPr>
      <t>169</t>
    </r>
  </si>
  <si>
    <r>
      <rPr>
        <sz val="8"/>
        <rFont val="Calibri"/>
        <family val="2"/>
      </rPr>
      <t xml:space="preserve">82049 - ADENOSINA 3MG/ML SOLUCAO INJET (HIPOLABOR) </t>
    </r>
  </si>
  <si>
    <r>
      <rPr>
        <sz val="8"/>
        <rFont val="Calibri"/>
        <family val="2"/>
      </rPr>
      <t>171</t>
    </r>
  </si>
  <si>
    <r>
      <rPr>
        <sz val="8"/>
        <rFont val="Calibri"/>
        <family val="2"/>
      </rPr>
      <t xml:space="preserve">82050 - AMINOFILINA 24MG/ML SOLUCAO.IN (FARMACE) </t>
    </r>
  </si>
  <si>
    <r>
      <rPr>
        <sz val="8"/>
        <rFont val="Calibri"/>
        <family val="2"/>
      </rPr>
      <t>172</t>
    </r>
  </si>
  <si>
    <r>
      <rPr>
        <sz val="8"/>
        <rFont val="Calibri"/>
        <family val="2"/>
      </rPr>
      <t xml:space="preserve">86004 - ATROPINA 0,5MG SOL. INJETAVEL (FARMACE) </t>
    </r>
  </si>
  <si>
    <r>
      <rPr>
        <sz val="8"/>
        <rFont val="Calibri"/>
        <family val="2"/>
      </rPr>
      <t>177</t>
    </r>
  </si>
  <si>
    <r>
      <rPr>
        <sz val="8"/>
        <rFont val="Calibri"/>
        <family val="2"/>
      </rPr>
      <t xml:space="preserve">83314 - CLORETO DE SODIO 0,9% 100ML (COOPERMED) </t>
    </r>
  </si>
  <si>
    <r>
      <rPr>
        <sz val="8"/>
        <rFont val="Calibri"/>
        <family val="2"/>
      </rPr>
      <t>178</t>
    </r>
  </si>
  <si>
    <r>
      <rPr>
        <sz val="8"/>
        <rFont val="Calibri"/>
        <family val="2"/>
      </rPr>
      <t xml:space="preserve">90965 - CLORETO DE SÓDIO 0,9% SOLUÇÃO INJETÁVEL SISTEMA FECHADO 250ML (COOPERMED) </t>
    </r>
  </si>
  <si>
    <r>
      <rPr>
        <sz val="8"/>
        <rFont val="Calibri"/>
        <family val="2"/>
      </rPr>
      <t>179</t>
    </r>
  </si>
  <si>
    <r>
      <rPr>
        <sz val="8"/>
        <rFont val="Calibri"/>
        <family val="2"/>
      </rPr>
      <t xml:space="preserve">90966 - CLORETO DE SÓDIO 0,9% SOLUÇÃO INJETÁVEL SISTEMA FECHADO 500ML (COOPERMED) </t>
    </r>
  </si>
  <si>
    <r>
      <rPr>
        <sz val="8"/>
        <rFont val="Calibri"/>
        <family val="2"/>
      </rPr>
      <t>180</t>
    </r>
  </si>
  <si>
    <r>
      <rPr>
        <sz val="8"/>
        <rFont val="Calibri"/>
        <family val="2"/>
      </rPr>
      <t xml:space="preserve">82119 - CLORETO DE SODIO 0,9% 500ML (FARMAX) </t>
    </r>
  </si>
  <si>
    <r>
      <rPr>
        <sz val="8"/>
        <rFont val="Calibri"/>
        <family val="2"/>
      </rPr>
      <t>184</t>
    </r>
  </si>
  <si>
    <r>
      <rPr>
        <sz val="8"/>
        <rFont val="Calibri"/>
        <family val="2"/>
      </rPr>
      <t xml:space="preserve">86016 - DIAZEPAM 5MG INJETAVEL AMP 2ML (HIPOLABOR) </t>
    </r>
  </si>
  <si>
    <r>
      <rPr>
        <sz val="8"/>
        <rFont val="Calibri"/>
        <family val="2"/>
      </rPr>
      <t>188</t>
    </r>
  </si>
  <si>
    <r>
      <rPr>
        <sz val="8"/>
        <rFont val="Calibri"/>
        <family val="2"/>
      </rPr>
      <t xml:space="preserve">84602 - EPINEFRINA HEMITARTARAT1MG INJ (HYPOFARMA) </t>
    </r>
  </si>
  <si>
    <r>
      <rPr>
        <sz val="8"/>
        <rFont val="Calibri"/>
        <family val="2"/>
      </rPr>
      <t>190</t>
    </r>
  </si>
  <si>
    <r>
      <rPr>
        <sz val="8"/>
        <rFont val="Calibri"/>
        <family val="2"/>
      </rPr>
      <t>UNI</t>
    </r>
  </si>
  <si>
    <r>
      <rPr>
        <sz val="8"/>
        <rFont val="Calibri"/>
        <family val="2"/>
      </rPr>
      <t xml:space="preserve">90968 - ESCOPOLAMINA + DIPIRONA 4MG + 500 MG/ML SOLUÇÃO INJETÁVEL AMPOLA 5ML (HIPOLABOR) </t>
    </r>
  </si>
  <si>
    <r>
      <rPr>
        <sz val="8"/>
        <rFont val="Calibri"/>
        <family val="2"/>
      </rPr>
      <t>191</t>
    </r>
  </si>
  <si>
    <r>
      <rPr>
        <sz val="8"/>
        <rFont val="Calibri"/>
        <family val="2"/>
      </rPr>
      <t>ampola</t>
    </r>
  </si>
  <si>
    <r>
      <rPr>
        <sz val="8"/>
        <rFont val="Calibri"/>
        <family val="2"/>
      </rPr>
      <t xml:space="preserve">86023 - ETOMIDATO 2MG (BLAU) </t>
    </r>
  </si>
  <si>
    <r>
      <rPr>
        <sz val="8"/>
        <rFont val="Calibri"/>
        <family val="2"/>
      </rPr>
      <t>192</t>
    </r>
  </si>
  <si>
    <r>
      <rPr>
        <sz val="8"/>
        <rFont val="Calibri"/>
        <family val="2"/>
      </rPr>
      <t xml:space="preserve">75249 - FENITOINA SOD. 50MG/ML AMP.5ML (TEUTO) </t>
    </r>
  </si>
  <si>
    <r>
      <rPr>
        <sz val="8"/>
        <rFont val="Calibri"/>
        <family val="2"/>
      </rPr>
      <t>193</t>
    </r>
  </si>
  <si>
    <r>
      <rPr>
        <sz val="8"/>
        <rFont val="Calibri"/>
        <family val="2"/>
      </rPr>
      <t xml:space="preserve">75251 - FENOBARBITAL SOD.100MG/ML AM2M (CRISTALIA) </t>
    </r>
  </si>
  <si>
    <r>
      <rPr>
        <sz val="8"/>
        <rFont val="Calibri"/>
        <family val="2"/>
      </rPr>
      <t>194</t>
    </r>
  </si>
  <si>
    <r>
      <rPr>
        <sz val="8"/>
        <rFont val="Calibri"/>
        <family val="2"/>
      </rPr>
      <t xml:space="preserve">86026 - FENTANILA 0,05MG (UNIÃ?O QUIMICA) </t>
    </r>
  </si>
  <si>
    <r>
      <rPr>
        <sz val="8"/>
        <rFont val="Calibri"/>
        <family val="2"/>
      </rPr>
      <t>195</t>
    </r>
  </si>
  <si>
    <r>
      <rPr>
        <sz val="8"/>
        <rFont val="Calibri"/>
        <family val="2"/>
      </rPr>
      <t xml:space="preserve">84208 - FITOMENADIONA 10MG INJ 1ML (HYPOFARMA) </t>
    </r>
  </si>
  <si>
    <r>
      <rPr>
        <sz val="8"/>
        <rFont val="Calibri"/>
        <family val="2"/>
      </rPr>
      <t>197</t>
    </r>
  </si>
  <si>
    <r>
      <rPr>
        <sz val="8"/>
        <rFont val="Calibri"/>
        <family val="2"/>
      </rPr>
      <t xml:space="preserve">79877 - FUROSEMIDA INJ.10MG/ML 2ML (SANTISA) </t>
    </r>
  </si>
  <si>
    <r>
      <rPr>
        <sz val="8"/>
        <rFont val="Calibri"/>
        <family val="2"/>
      </rPr>
      <t>201</t>
    </r>
  </si>
  <si>
    <r>
      <rPr>
        <sz val="8"/>
        <rFont val="Calibri"/>
        <family val="2"/>
      </rPr>
      <t xml:space="preserve">86032 - GLICOSE 5% SISTEMA FECHADO 250 (EQUIPLEX) </t>
    </r>
  </si>
  <si>
    <r>
      <rPr>
        <sz val="8"/>
        <rFont val="Calibri"/>
        <family val="2"/>
      </rPr>
      <t>202</t>
    </r>
  </si>
  <si>
    <r>
      <rPr>
        <sz val="8"/>
        <rFont val="Calibri"/>
        <family val="2"/>
      </rPr>
      <t xml:space="preserve">86034 - GLICOSE 5% SIST. FECHADO 500ML (EQUIPLEX) </t>
    </r>
  </si>
  <si>
    <r>
      <rPr>
        <sz val="8"/>
        <rFont val="Calibri"/>
        <family val="2"/>
      </rPr>
      <t>209</t>
    </r>
  </si>
  <si>
    <r>
      <rPr>
        <sz val="8"/>
        <rFont val="Calibri"/>
        <family val="2"/>
      </rPr>
      <t xml:space="preserve">90973 - INSULINA GLARGINA 100U/ML SOLUÇÃO INJETÁVEL FRASCO 10 ML (SANOFI) </t>
    </r>
  </si>
  <si>
    <r>
      <rPr>
        <sz val="8"/>
        <rFont val="Calibri"/>
        <family val="2"/>
      </rPr>
      <t>210</t>
    </r>
  </si>
  <si>
    <r>
      <rPr>
        <sz val="8"/>
        <rFont val="Calibri"/>
        <family val="2"/>
      </rPr>
      <t xml:space="preserve">84218 - INSULINA GLAR 100U/ML INJ 3ML (BIOMM) </t>
    </r>
  </si>
  <si>
    <r>
      <rPr>
        <sz val="8"/>
        <rFont val="Calibri"/>
        <family val="2"/>
      </rPr>
      <t>216</t>
    </r>
  </si>
  <si>
    <r>
      <rPr>
        <sz val="8"/>
        <rFont val="Calibri"/>
        <family val="2"/>
      </rPr>
      <t xml:space="preserve">86050 - METOCLORPRAMIDA 5MG AMP 10ML (ISOFARMA) </t>
    </r>
  </si>
  <si>
    <r>
      <rPr>
        <sz val="8"/>
        <rFont val="Calibri"/>
        <family val="2"/>
      </rPr>
      <t>219</t>
    </r>
  </si>
  <si>
    <r>
      <rPr>
        <sz val="8"/>
        <rFont val="Calibri"/>
        <family val="2"/>
      </rPr>
      <t xml:space="preserve">72869 - MORFINA 0,2 MG/ML (TEUTO) </t>
    </r>
  </si>
  <si>
    <r>
      <rPr>
        <sz val="8"/>
        <rFont val="Calibri"/>
        <family val="2"/>
      </rPr>
      <t>220</t>
    </r>
  </si>
  <si>
    <r>
      <rPr>
        <sz val="8"/>
        <rFont val="Calibri"/>
        <family val="2"/>
      </rPr>
      <t xml:space="preserve">82072 - MORFINA 10MG/ML SOLUC.INJ.10MG (CRISTALIA) </t>
    </r>
  </si>
  <si>
    <r>
      <rPr>
        <sz val="8"/>
        <rFont val="Calibri"/>
        <family val="2"/>
      </rPr>
      <t>226</t>
    </r>
  </si>
  <si>
    <r>
      <rPr>
        <sz val="8"/>
        <rFont val="Calibri"/>
        <family val="2"/>
      </rPr>
      <t xml:space="preserve">86060 - PROMETAZINA 25MG AMPOLA 1ML (HIPOLABOR) </t>
    </r>
  </si>
  <si>
    <r>
      <rPr>
        <sz val="8"/>
        <rFont val="Calibri"/>
        <family val="2"/>
      </rPr>
      <t>230</t>
    </r>
  </si>
  <si>
    <r>
      <rPr>
        <sz val="8"/>
        <rFont val="Calibri"/>
        <family val="2"/>
      </rPr>
      <t xml:space="preserve">86064 - TRAMADOL 50MG AMPOLA 2ML (TEUTO) </t>
    </r>
  </si>
  <si>
    <r>
      <rPr>
        <sz val="8"/>
        <rFont val="Calibri"/>
        <family val="2"/>
      </rPr>
      <t>231</t>
    </r>
  </si>
  <si>
    <r>
      <rPr>
        <sz val="8"/>
        <rFont val="Calibri"/>
        <family val="2"/>
      </rPr>
      <t xml:space="preserve">86065 - VASOPRESSINA 20UI/ML AMP 1ML (BIOLAB) </t>
    </r>
  </si>
  <si>
    <r>
      <rPr>
        <sz val="8"/>
        <rFont val="Calibri"/>
        <family val="2"/>
      </rPr>
      <t>232</t>
    </r>
  </si>
  <si>
    <r>
      <rPr>
        <sz val="8"/>
        <rFont val="Calibri"/>
        <family val="2"/>
      </rPr>
      <t xml:space="preserve">87138 - LANCETA ACO INOXIDAVEL DESCART (MEDIX) </t>
    </r>
  </si>
  <si>
    <r>
      <rPr>
        <sz val="8"/>
        <rFont val="Calibri"/>
        <family val="2"/>
      </rPr>
      <t>233</t>
    </r>
  </si>
  <si>
    <r>
      <rPr>
        <sz val="8"/>
        <rFont val="Calibri"/>
        <family val="2"/>
      </rPr>
      <t xml:space="preserve">82183 - TIRAS TESTE GLICEMIA (ON CALL PLUS) </t>
    </r>
  </si>
  <si>
    <r>
      <rPr>
        <sz val="8"/>
        <rFont val="Calibri"/>
        <family val="2"/>
      </rPr>
      <t>235</t>
    </r>
  </si>
  <si>
    <r>
      <rPr>
        <sz val="8"/>
        <rFont val="Calibri"/>
        <family val="2"/>
      </rPr>
      <t xml:space="preserve">90979 - CLORIDRATO DE OXIBUPROCAÍNA SOLUÇÃO OFTÁLMICA ESTÉRIL 4 MG/ML (0,4 %) (CRISTALIA) </t>
    </r>
  </si>
  <si>
    <r>
      <rPr>
        <sz val="8"/>
        <rFont val="Calibri"/>
        <family val="2"/>
      </rPr>
      <t>073</t>
    </r>
  </si>
  <si>
    <r>
      <rPr>
        <sz val="8"/>
        <rFont val="Calibri"/>
        <family val="2"/>
      </rPr>
      <t xml:space="preserve">90890 - DIGOXINA 0,25MG COMPRIMIDO.. (teuto) </t>
    </r>
  </si>
  <si>
    <r>
      <rPr>
        <sz val="8"/>
        <rFont val="Calibri"/>
        <family val="2"/>
      </rPr>
      <t>017</t>
    </r>
  </si>
  <si>
    <r>
      <rPr>
        <sz val="8"/>
        <rFont val="Calibri"/>
        <family val="2"/>
      </rPr>
      <t xml:space="preserve">90851 - AMIODARONA 200MG COMPRIMIDO.. (null) </t>
    </r>
  </si>
  <si>
    <r>
      <rPr>
        <sz val="8"/>
        <rFont val="Calibri"/>
        <family val="2"/>
      </rPr>
      <t>046</t>
    </r>
  </si>
  <si>
    <r>
      <rPr>
        <sz val="8"/>
        <rFont val="Calibri"/>
        <family val="2"/>
      </rPr>
      <t xml:space="preserve">90869 - CEFTRIAXONA 1G PÓ PARA SOLUÇÃO INJETÁVEL VIA INTRAVENOSA (null) </t>
    </r>
  </si>
  <si>
    <r>
      <rPr>
        <sz val="8"/>
        <rFont val="Calibri"/>
        <family val="2"/>
      </rPr>
      <t>047</t>
    </r>
  </si>
  <si>
    <r>
      <rPr>
        <sz val="8"/>
        <rFont val="Calibri"/>
        <family val="2"/>
      </rPr>
      <t xml:space="preserve">90870 - CETOPROFENO 100MG  COMPRIMIDO REVESTIDO DE LIBERAÇÃO RETARDADA (null) </t>
    </r>
  </si>
  <si>
    <r>
      <rPr>
        <sz val="8"/>
        <rFont val="Calibri"/>
        <family val="2"/>
      </rPr>
      <t>053</t>
    </r>
  </si>
  <si>
    <r>
      <rPr>
        <sz val="8"/>
        <rFont val="Calibri"/>
        <family val="2"/>
      </rPr>
      <t xml:space="preserve">90876 - CLOBAZAM 10 MG COMPRIMIDO.. (null) </t>
    </r>
  </si>
  <si>
    <r>
      <rPr>
        <sz val="8"/>
        <rFont val="Calibri"/>
        <family val="2"/>
      </rPr>
      <t>096</t>
    </r>
  </si>
  <si>
    <r>
      <rPr>
        <sz val="8"/>
        <rFont val="Calibri"/>
        <family val="2"/>
      </rPr>
      <t xml:space="preserve">90911 - HIDRALAZINA 50MG COMPRIMIDO (null) </t>
    </r>
  </si>
  <si>
    <r>
      <rPr>
        <sz val="8"/>
        <rFont val="Calibri"/>
        <family val="2"/>
      </rPr>
      <t>098</t>
    </r>
  </si>
  <si>
    <r>
      <rPr>
        <sz val="8"/>
        <rFont val="Calibri"/>
        <family val="2"/>
      </rPr>
      <t xml:space="preserve">90913 - IBUPROFENO 50MG/ML SUSPENÇÃO ORAL FRASCO 20ML (null) </t>
    </r>
  </si>
  <si>
    <r>
      <rPr>
        <sz val="8"/>
        <rFont val="Calibri"/>
        <family val="2"/>
      </rPr>
      <t>103</t>
    </r>
  </si>
  <si>
    <r>
      <rPr>
        <sz val="8"/>
        <rFont val="Calibri"/>
        <family val="2"/>
      </rPr>
      <t xml:space="preserve">90917 - ISOSSORBIDA 20MG (MONONITRATO DE) COMPRIMIDO (null) </t>
    </r>
  </si>
  <si>
    <r>
      <rPr>
        <sz val="8"/>
        <rFont val="Calibri"/>
        <family val="2"/>
      </rPr>
      <t>114</t>
    </r>
  </si>
  <si>
    <r>
      <rPr>
        <sz val="8"/>
        <rFont val="Calibri"/>
        <family val="2"/>
      </rPr>
      <t xml:space="preserve">90925 - MELOXICAM 15MG COMPRIMIDO. (null) </t>
    </r>
  </si>
  <si>
    <r>
      <rPr>
        <sz val="8"/>
        <rFont val="Calibri"/>
        <family val="2"/>
      </rPr>
      <t>152</t>
    </r>
  </si>
  <si>
    <r>
      <rPr>
        <sz val="8"/>
        <rFont val="Calibri"/>
        <family val="2"/>
      </rPr>
      <t xml:space="preserve">82115 - SALMETEROL+FLUTICASINA25+125 (null) </t>
    </r>
  </si>
  <si>
    <r>
      <rPr>
        <sz val="8"/>
        <rFont val="Calibri"/>
        <family val="2"/>
      </rPr>
      <t>157</t>
    </r>
  </si>
  <si>
    <r>
      <rPr>
        <sz val="8"/>
        <rFont val="Calibri"/>
        <family val="2"/>
      </rPr>
      <t xml:space="preserve">90957 - SINVASTATINA 40MG COMPRIMIDO (null) </t>
    </r>
  </si>
  <si>
    <r>
      <rPr>
        <sz val="8"/>
        <rFont val="Calibri"/>
        <family val="2"/>
      </rPr>
      <t>174</t>
    </r>
  </si>
  <si>
    <r>
      <rPr>
        <sz val="8"/>
        <rFont val="Calibri"/>
        <family val="2"/>
      </rPr>
      <t xml:space="preserve">73931 - BROMOPRIDA 5MG/ML 2ML (null) </t>
    </r>
  </si>
  <si>
    <r>
      <rPr>
        <sz val="8"/>
        <rFont val="Calibri"/>
        <family val="2"/>
      </rPr>
      <t>196</t>
    </r>
  </si>
  <si>
    <r>
      <rPr>
        <sz val="8"/>
        <rFont val="Calibri"/>
        <family val="2"/>
      </rPr>
      <t xml:space="preserve">75329 - FLUMAZENIL 0,1 MG/ML AMP.5ML (null) </t>
    </r>
  </si>
  <si>
    <r>
      <rPr>
        <sz val="8"/>
        <rFont val="Calibri"/>
        <family val="2"/>
      </rPr>
      <t>204</t>
    </r>
  </si>
  <si>
    <r>
      <rPr>
        <sz val="8"/>
        <rFont val="Calibri"/>
        <family val="2"/>
      </rPr>
      <t xml:space="preserve">90969 - HALOPERIDOL 5MG/ML SOLUÇÃO INJETÁVEL AMPOLA 1ML (null) </t>
    </r>
  </si>
  <si>
    <r>
      <rPr>
        <sz val="8"/>
        <rFont val="Calibri"/>
        <family val="2"/>
      </rPr>
      <t>207</t>
    </r>
  </si>
  <si>
    <r>
      <rPr>
        <sz val="8"/>
        <rFont val="Calibri"/>
        <family val="2"/>
      </rPr>
      <t xml:space="preserve">90971 - HIDROCORTIZONA (SUCCINATO DE SÓDIO) 100MG PÓ PARA SOLUÇÃO INJETÁVEL  (null) </t>
    </r>
  </si>
  <si>
    <r>
      <rPr>
        <sz val="8"/>
        <rFont val="Calibri"/>
        <family val="2"/>
      </rPr>
      <t>208</t>
    </r>
  </si>
  <si>
    <r>
      <rPr>
        <sz val="8"/>
        <rFont val="Calibri"/>
        <family val="2"/>
      </rPr>
      <t xml:space="preserve">90972 - HIDROCORTIZONA (SUCCINATO DE SÓDIO) 500MG PÓ PARA SOLUÇÃO INJETÁVEL  (null) </t>
    </r>
  </si>
  <si>
    <r>
      <rPr>
        <sz val="8"/>
        <rFont val="Calibri"/>
        <family val="2"/>
      </rPr>
      <t>218</t>
    </r>
  </si>
  <si>
    <r>
      <rPr>
        <sz val="8"/>
        <rFont val="Calibri"/>
        <family val="2"/>
      </rPr>
      <t xml:space="preserve">86052 - MIDAZOLAM 1MG INJ. AMPOLA 5ML (null) </t>
    </r>
  </si>
  <si>
    <r>
      <rPr>
        <sz val="8"/>
        <rFont val="Calibri"/>
        <family val="2"/>
      </rPr>
      <t>222</t>
    </r>
  </si>
  <si>
    <r>
      <rPr>
        <sz val="8"/>
        <rFont val="Calibri"/>
        <family val="2"/>
      </rPr>
      <t xml:space="preserve">82075 - NOREPINEFRINA HEMITARTARATO2MG (null) </t>
    </r>
  </si>
  <si>
    <r>
      <rPr>
        <sz val="8"/>
        <rFont val="Calibri"/>
        <family val="2"/>
      </rPr>
      <t>224</t>
    </r>
  </si>
  <si>
    <r>
      <rPr>
        <sz val="8"/>
        <rFont val="Calibri"/>
        <family val="2"/>
      </rPr>
      <t xml:space="preserve">86058 - ONDASTERONA 2MG AMPOLA 2ML (null) </t>
    </r>
  </si>
  <si>
    <r>
      <rPr>
        <sz val="8"/>
        <rFont val="Calibri"/>
        <family val="2"/>
      </rPr>
      <t>228</t>
    </r>
  </si>
  <si>
    <r>
      <rPr>
        <sz val="8"/>
        <rFont val="Calibri"/>
        <family val="2"/>
      </rPr>
      <t xml:space="preserve">86062 - TERBUTALINA 0,5MG AMPOLA 1ML (null) </t>
    </r>
  </si>
  <si>
    <r>
      <rPr>
        <sz val="8"/>
        <rFont val="Calibri"/>
        <family val="2"/>
      </rPr>
      <t>237</t>
    </r>
  </si>
  <si>
    <r>
      <rPr>
        <sz val="8"/>
        <rFont val="Calibri"/>
        <family val="2"/>
      </rPr>
      <t xml:space="preserve">71146 - BECLOMETASONA DIPROPIONATO 50M (null) </t>
    </r>
  </si>
  <si>
    <r>
      <rPr>
        <sz val="8"/>
        <rFont val="Calibri"/>
        <family val="2"/>
      </rPr>
      <t>007</t>
    </r>
  </si>
  <si>
    <r>
      <rPr>
        <sz val="8"/>
        <rFont val="Calibri"/>
        <family val="2"/>
      </rPr>
      <t xml:space="preserve">82013 - ACIDO VALPROICO 250MG CAPSULA. (DEPAKENE) </t>
    </r>
  </si>
  <si>
    <r>
      <rPr>
        <sz val="8"/>
        <rFont val="Calibri"/>
        <family val="2"/>
      </rPr>
      <t>065</t>
    </r>
  </si>
  <si>
    <r>
      <rPr>
        <sz val="8"/>
        <rFont val="Calibri"/>
        <family val="2"/>
      </rPr>
      <t xml:space="preserve">85904 - COLAGENASE 0,6UI POMADA 30G (IRUXOL MONO) </t>
    </r>
  </si>
  <si>
    <r>
      <rPr>
        <sz val="8"/>
        <rFont val="Calibri"/>
        <family val="2"/>
      </rPr>
      <t>238</t>
    </r>
  </si>
  <si>
    <r>
      <rPr>
        <sz val="8"/>
        <rFont val="Calibri"/>
        <family val="2"/>
      </rPr>
      <t xml:space="preserve">90884 - COLAGENASE + CLORANFENICOL 0,6UI + 1% POMADA DERMATOLÓGICA, BISNAGA 30 G (IRUXOL) </t>
    </r>
  </si>
  <si>
    <r>
      <rPr>
        <sz val="8"/>
        <rFont val="Calibri"/>
        <family val="2"/>
      </rPr>
      <t>105</t>
    </r>
  </si>
  <si>
    <r>
      <rPr>
        <sz val="8"/>
        <rFont val="Calibri"/>
        <family val="2"/>
      </rPr>
      <t xml:space="preserve">90918 - LEVODOPA +  BESERAZIDA 200/50 MG COMPRIMIDO (Prolopa 250 mg) </t>
    </r>
  </si>
  <si>
    <r>
      <rPr>
        <sz val="8"/>
        <rFont val="Calibri"/>
        <family val="2"/>
      </rPr>
      <t>005</t>
    </r>
  </si>
  <si>
    <r>
      <rPr>
        <sz val="8"/>
        <rFont val="Calibri"/>
        <family val="2"/>
      </rPr>
      <t xml:space="preserve">90843 - ACIDO ACETILSALICILICO 100MG COMPRIMIDO  (SALICETIL) </t>
    </r>
  </si>
  <si>
    <r>
      <rPr>
        <sz val="8"/>
        <rFont val="Calibri"/>
        <family val="2"/>
      </rPr>
      <t>009</t>
    </r>
  </si>
  <si>
    <r>
      <rPr>
        <sz val="8"/>
        <rFont val="Calibri"/>
        <family val="2"/>
      </rPr>
      <t xml:space="preserve">71179 - ALBENDAZOL 40MG/ML ORAL (ALBEL) </t>
    </r>
  </si>
  <si>
    <r>
      <rPr>
        <sz val="8"/>
        <rFont val="Calibri"/>
        <family val="2"/>
      </rPr>
      <t>013</t>
    </r>
  </si>
  <si>
    <r>
      <rPr>
        <sz val="8"/>
        <rFont val="Calibri"/>
        <family val="2"/>
      </rPr>
      <t xml:space="preserve">90849 - ALPRAZOLAM 1MG COMPRIMIDO. (GENÃ?RICO) </t>
    </r>
  </si>
  <si>
    <r>
      <rPr>
        <sz val="8"/>
        <rFont val="Calibri"/>
        <family val="2"/>
      </rPr>
      <t>018</t>
    </r>
  </si>
  <si>
    <r>
      <rPr>
        <sz val="8"/>
        <rFont val="Calibri"/>
        <family val="2"/>
      </rPr>
      <t xml:space="preserve">83970 - AMOXICILINA+CLAV POT 250+62,5 (GENÃ?RICO) </t>
    </r>
  </si>
  <si>
    <r>
      <rPr>
        <sz val="8"/>
        <rFont val="Calibri"/>
        <family val="2"/>
      </rPr>
      <t>019</t>
    </r>
  </si>
  <si>
    <r>
      <rPr>
        <sz val="8"/>
        <rFont val="Calibri"/>
        <family val="2"/>
      </rPr>
      <t xml:space="preserve">90852 - AMOXICILINA + CLAVULANATO DE POTASSIO 500 + 125MG COMPRIMIDO (GENÃ?RICO) </t>
    </r>
  </si>
  <si>
    <r>
      <rPr>
        <sz val="8"/>
        <rFont val="Calibri"/>
        <family val="2"/>
      </rPr>
      <t>020</t>
    </r>
  </si>
  <si>
    <r>
      <rPr>
        <sz val="8"/>
        <rFont val="Calibri"/>
        <family val="2"/>
      </rPr>
      <t xml:space="preserve">90853 - AMOXICILINA 500MG CAPSULA DURA. (GENÃ?RICO) </t>
    </r>
  </si>
  <si>
    <r>
      <rPr>
        <sz val="8"/>
        <rFont val="Calibri"/>
        <family val="2"/>
      </rPr>
      <t>024</t>
    </r>
  </si>
  <si>
    <r>
      <rPr>
        <sz val="8"/>
        <rFont val="Calibri"/>
        <family val="2"/>
      </rPr>
      <t xml:space="preserve">90856 - ATENOLOL 50MG.. (GENÃ?RICO) </t>
    </r>
  </si>
  <si>
    <r>
      <rPr>
        <sz val="8"/>
        <rFont val="Calibri"/>
        <family val="2"/>
      </rPr>
      <t>025</t>
    </r>
  </si>
  <si>
    <r>
      <rPr>
        <sz val="8"/>
        <rFont val="Calibri"/>
        <family val="2"/>
      </rPr>
      <t xml:space="preserve">81954 - AZITROMICINA 200MG/ML 600MG . (GENÃ?RICO) </t>
    </r>
  </si>
  <si>
    <r>
      <rPr>
        <sz val="8"/>
        <rFont val="Calibri"/>
        <family val="2"/>
      </rPr>
      <t>033</t>
    </r>
  </si>
  <si>
    <r>
      <rPr>
        <sz val="8"/>
        <rFont val="Calibri"/>
        <family val="2"/>
      </rPr>
      <t xml:space="preserve">76262 - BUDESONIDA 32MCG SUSP. NASAL (GENÃ?RICO) </t>
    </r>
  </si>
  <si>
    <r>
      <rPr>
        <sz val="8"/>
        <rFont val="Calibri"/>
        <family val="2"/>
      </rPr>
      <t>036</t>
    </r>
  </si>
  <si>
    <r>
      <rPr>
        <sz val="8"/>
        <rFont val="Calibri"/>
        <family val="2"/>
      </rPr>
      <t xml:space="preserve">90861 - CAPTOPRIL 25MG COMPRIMIDO (GENÃ?RICO) </t>
    </r>
  </si>
  <si>
    <r>
      <rPr>
        <sz val="8"/>
        <rFont val="Calibri"/>
        <family val="2"/>
      </rPr>
      <t>037</t>
    </r>
  </si>
  <si>
    <r>
      <rPr>
        <sz val="8"/>
        <rFont val="Calibri"/>
        <family val="2"/>
      </rPr>
      <t xml:space="preserve">90862 - CARBAMAZEPINA 200MG  COMPRIMIDO (GENÃ?RICO) </t>
    </r>
  </si>
  <si>
    <r>
      <rPr>
        <sz val="8"/>
        <rFont val="Calibri"/>
        <family val="2"/>
      </rPr>
      <t>040</t>
    </r>
  </si>
  <si>
    <r>
      <rPr>
        <sz val="8"/>
        <rFont val="Calibri"/>
        <family val="2"/>
      </rPr>
      <t xml:space="preserve">90864 - CARVEDILOL 12,5MG COMPRIMIDO. (GENÃ?RICO) </t>
    </r>
  </si>
  <si>
    <r>
      <rPr>
        <sz val="8"/>
        <rFont val="Calibri"/>
        <family val="2"/>
      </rPr>
      <t>041</t>
    </r>
  </si>
  <si>
    <r>
      <rPr>
        <sz val="8"/>
        <rFont val="Calibri"/>
        <family val="2"/>
      </rPr>
      <t xml:space="preserve">90865 - CARVEDILOL 25MG COMPRIMIDO COMP (GENÃ?RICO) </t>
    </r>
  </si>
  <si>
    <r>
      <rPr>
        <sz val="8"/>
        <rFont val="Calibri"/>
        <family val="2"/>
      </rPr>
      <t>042</t>
    </r>
  </si>
  <si>
    <r>
      <rPr>
        <sz val="8"/>
        <rFont val="Calibri"/>
        <family val="2"/>
      </rPr>
      <t xml:space="preserve">90866 - CARVEDILOL 3,125MG COMPRIMIDO comp (GENÃ?RICO) </t>
    </r>
  </si>
  <si>
    <r>
      <rPr>
        <sz val="8"/>
        <rFont val="Calibri"/>
        <family val="2"/>
      </rPr>
      <t>057</t>
    </r>
  </si>
  <si>
    <r>
      <rPr>
        <sz val="8"/>
        <rFont val="Calibri"/>
        <family val="2"/>
      </rPr>
      <t xml:space="preserve">90879 - CLONAZEPAM 2MG COMPRIMIDO. (GENÃ?RICO) </t>
    </r>
  </si>
  <si>
    <r>
      <rPr>
        <sz val="8"/>
        <rFont val="Calibri"/>
        <family val="2"/>
      </rPr>
      <t>059</t>
    </r>
  </si>
  <si>
    <r>
      <rPr>
        <sz val="8"/>
        <rFont val="Calibri"/>
        <family val="2"/>
      </rPr>
      <t>sachê</t>
    </r>
  </si>
  <si>
    <r>
      <rPr>
        <sz val="8"/>
        <rFont val="Calibri"/>
        <family val="2"/>
      </rPr>
      <t xml:space="preserve">90881 - CLORETO DE SÓDIO + GLICOSE + CITRATO DE SÓDIO + CLORETO DE POTÁSSIO 3,5+20,0+2,9+1,5 G PO PARA PREPARACAO EXTEMPORANEA (SAIS DE REIDRATAÇÃO ORAL) (AQUALEV) </t>
    </r>
  </si>
  <si>
    <r>
      <rPr>
        <sz val="8"/>
        <rFont val="Calibri"/>
        <family val="2"/>
      </rPr>
      <t>071</t>
    </r>
  </si>
  <si>
    <r>
      <rPr>
        <sz val="8"/>
        <rFont val="Calibri"/>
        <family val="2"/>
      </rPr>
      <t xml:space="preserve">90888 - DIAZEPAM 10MG COMPRIMIDO. (SANTIAZEPAM) </t>
    </r>
  </si>
  <si>
    <r>
      <rPr>
        <sz val="8"/>
        <rFont val="Calibri"/>
        <family val="2"/>
      </rPr>
      <t>075</t>
    </r>
  </si>
  <si>
    <r>
      <rPr>
        <sz val="8"/>
        <rFont val="Calibri"/>
        <family val="2"/>
      </rPr>
      <t xml:space="preserve">90892 - DIPIRONA 500MG COMPRIMIDO (GENÃ?RICO) </t>
    </r>
  </si>
  <si>
    <r>
      <rPr>
        <sz val="8"/>
        <rFont val="Calibri"/>
        <family val="2"/>
      </rPr>
      <t>080</t>
    </r>
  </si>
  <si>
    <r>
      <rPr>
        <sz val="8"/>
        <rFont val="Calibri"/>
        <family val="2"/>
      </rPr>
      <t xml:space="preserve">90896 - ESCITALOPRAM 10MG COMPRIMIDO REVESTIDO (GENÃ?RICO) </t>
    </r>
  </si>
  <si>
    <r>
      <rPr>
        <sz val="8"/>
        <rFont val="Calibri"/>
        <family val="2"/>
      </rPr>
      <t>090</t>
    </r>
  </si>
  <si>
    <r>
      <rPr>
        <sz val="8"/>
        <rFont val="Calibri"/>
        <family val="2"/>
      </rPr>
      <t xml:space="preserve">90906 - FLUOXETINA 20MG  CAPSULA (GENÃ?RICO) </t>
    </r>
  </si>
  <si>
    <r>
      <rPr>
        <sz val="8"/>
        <rFont val="Calibri"/>
        <family val="2"/>
      </rPr>
      <t>094</t>
    </r>
  </si>
  <si>
    <r>
      <rPr>
        <sz val="8"/>
        <rFont val="Calibri"/>
        <family val="2"/>
      </rPr>
      <t xml:space="preserve">90909 - HALOPERIDOL 5 MG COMPRIMIDO (UNI HALOPER) </t>
    </r>
  </si>
  <si>
    <r>
      <rPr>
        <sz val="8"/>
        <rFont val="Calibri"/>
        <family val="2"/>
      </rPr>
      <t>119</t>
    </r>
  </si>
  <si>
    <r>
      <rPr>
        <sz val="8"/>
        <rFont val="Calibri"/>
        <family val="2"/>
      </rPr>
      <t xml:space="preserve">90930 - METILFENIDATO 10MG  COMPRIMIDO (GENÃ?RICO) </t>
    </r>
  </si>
  <si>
    <r>
      <rPr>
        <sz val="8"/>
        <rFont val="Calibri"/>
        <family val="2"/>
      </rPr>
      <t>131</t>
    </r>
  </si>
  <si>
    <r>
      <rPr>
        <sz val="8"/>
        <rFont val="Calibri"/>
        <family val="2"/>
      </rPr>
      <t xml:space="preserve">90936 - NORTRIPTILINA 25MG  CÁPSULA (PAMELOR) </t>
    </r>
  </si>
  <si>
    <r>
      <rPr>
        <sz val="8"/>
        <rFont val="Calibri"/>
        <family val="2"/>
      </rPr>
      <t>132</t>
    </r>
  </si>
  <si>
    <r>
      <rPr>
        <sz val="8"/>
        <rFont val="Calibri"/>
        <family val="2"/>
      </rPr>
      <t xml:space="preserve">90937 - NORTRIPTILINA 50MG CÁPSULA (PAMELOR) </t>
    </r>
  </si>
  <si>
    <r>
      <rPr>
        <sz val="8"/>
        <rFont val="Calibri"/>
        <family val="2"/>
      </rPr>
      <t>141</t>
    </r>
  </si>
  <si>
    <r>
      <rPr>
        <sz val="8"/>
        <rFont val="Calibri"/>
        <family val="2"/>
      </rPr>
      <t xml:space="preserve">90943 - PREDNISONA 5MG  COMPRIMIDO (GENÃ?RICO) </t>
    </r>
  </si>
  <si>
    <r>
      <rPr>
        <sz val="8"/>
        <rFont val="Calibri"/>
        <family val="2"/>
      </rPr>
      <t>143</t>
    </r>
  </si>
  <si>
    <r>
      <rPr>
        <sz val="8"/>
        <rFont val="Calibri"/>
        <family val="2"/>
      </rPr>
      <t xml:space="preserve">90945 - PROPRANOLOL 40MG COMPRIMIDO (GENÃ?RICO) </t>
    </r>
  </si>
  <si>
    <r>
      <rPr>
        <sz val="8"/>
        <rFont val="Calibri"/>
        <family val="2"/>
      </rPr>
      <t>144</t>
    </r>
  </si>
  <si>
    <r>
      <rPr>
        <sz val="8"/>
        <rFont val="Calibri"/>
        <family val="2"/>
      </rPr>
      <t xml:space="preserve">90946 - QUETIAPINA 25 MG COMPRIMIDO REVESTIDO (GENÃ?RICO) </t>
    </r>
  </si>
  <si>
    <r>
      <rPr>
        <sz val="8"/>
        <rFont val="Calibri"/>
        <family val="2"/>
      </rPr>
      <t>145</t>
    </r>
  </si>
  <si>
    <r>
      <rPr>
        <sz val="8"/>
        <rFont val="Calibri"/>
        <family val="2"/>
      </rPr>
      <t xml:space="preserve">90947 - QUETIPINA 100 MG COMPRIMIDO REVESTIDO (GENÃ?RICO) </t>
    </r>
  </si>
  <si>
    <r>
      <rPr>
        <sz val="8"/>
        <rFont val="Calibri"/>
        <family val="2"/>
      </rPr>
      <t>147</t>
    </r>
  </si>
  <si>
    <r>
      <rPr>
        <sz val="8"/>
        <rFont val="Calibri"/>
        <family val="2"/>
      </rPr>
      <t xml:space="preserve">90949 - RISPERIDONA 1 MG COMPRIMIDO REVESTIDO (GENÃ?RICO) </t>
    </r>
  </si>
  <si>
    <r>
      <rPr>
        <sz val="8"/>
        <rFont val="Calibri"/>
        <family val="2"/>
      </rPr>
      <t>150</t>
    </r>
  </si>
  <si>
    <r>
      <rPr>
        <sz val="8"/>
        <rFont val="Calibri"/>
        <family val="2"/>
      </rPr>
      <t xml:space="preserve">90952 - RIVAROXABANA 20MG  COMPRIMIDO (VYNAXA) </t>
    </r>
  </si>
  <si>
    <r>
      <rPr>
        <sz val="8"/>
        <rFont val="Calibri"/>
        <family val="2"/>
      </rPr>
      <t>163</t>
    </r>
  </si>
  <si>
    <r>
      <rPr>
        <sz val="8"/>
        <rFont val="Calibri"/>
        <family val="2"/>
      </rPr>
      <t xml:space="preserve">90962 - TRAZODONA 50MG COMPRIMIDO REVESTIDO (GENÃ?RICO) </t>
    </r>
  </si>
  <si>
    <r>
      <rPr>
        <sz val="8"/>
        <rFont val="Calibri"/>
        <family val="2"/>
      </rPr>
      <t>164</t>
    </r>
  </si>
  <si>
    <r>
      <rPr>
        <sz val="8"/>
        <rFont val="Calibri"/>
        <family val="2"/>
      </rPr>
      <t xml:space="preserve">90963 - TOPIRAMATO 50MG. (GENÃ?RICO) </t>
    </r>
  </si>
  <si>
    <r>
      <rPr>
        <sz val="8"/>
        <rFont val="Calibri"/>
        <family val="2"/>
      </rPr>
      <t>167</t>
    </r>
  </si>
  <si>
    <r>
      <rPr>
        <sz val="8"/>
        <rFont val="Calibri"/>
        <family val="2"/>
      </rPr>
      <t xml:space="preserve">86000 - AGUA PARA INJECAO ENDOVENOSA (FARMACE) </t>
    </r>
  </si>
  <si>
    <r>
      <rPr>
        <sz val="8"/>
        <rFont val="Calibri"/>
        <family val="2"/>
      </rPr>
      <t>175</t>
    </r>
  </si>
  <si>
    <r>
      <rPr>
        <sz val="8"/>
        <rFont val="Calibri"/>
        <family val="2"/>
      </rPr>
      <t xml:space="preserve">81933 - CETOPROFENO 50MG/ML . (GENÃ?RICO) </t>
    </r>
  </si>
  <si>
    <r>
      <rPr>
        <sz val="8"/>
        <rFont val="Calibri"/>
        <family val="2"/>
      </rPr>
      <t>183</t>
    </r>
  </si>
  <si>
    <r>
      <rPr>
        <sz val="8"/>
        <rFont val="Calibri"/>
        <family val="2"/>
      </rPr>
      <t xml:space="preserve">73938 - DEXAMETASONA 4MG/ML AMPOLA (GENÃ?RICO) </t>
    </r>
  </si>
  <si>
    <r>
      <rPr>
        <sz val="8"/>
        <rFont val="Calibri"/>
        <family val="2"/>
      </rPr>
      <t>185</t>
    </r>
  </si>
  <si>
    <r>
      <rPr>
        <sz val="8"/>
        <rFont val="Calibri"/>
        <family val="2"/>
      </rPr>
      <t xml:space="preserve">71196 - DICLOFENACO SODICO 25MG/ML AM (GENÃ?RICO) </t>
    </r>
  </si>
  <si>
    <r>
      <rPr>
        <sz val="8"/>
        <rFont val="Calibri"/>
        <family val="2"/>
      </rPr>
      <t>189</t>
    </r>
  </si>
  <si>
    <r>
      <rPr>
        <sz val="8"/>
        <rFont val="Calibri"/>
        <family val="2"/>
      </rPr>
      <t xml:space="preserve">80475 - ESCOPOLAMINA BUTILBROMETO 20MG (GENÃ?RICO) </t>
    </r>
  </si>
  <si>
    <r>
      <rPr>
        <sz val="8"/>
        <rFont val="Calibri"/>
        <family val="2"/>
      </rPr>
      <t>203</t>
    </r>
  </si>
  <si>
    <r>
      <rPr>
        <sz val="8"/>
        <rFont val="Calibri"/>
        <family val="2"/>
      </rPr>
      <t xml:space="preserve">86035 - GLICOSE 50% AMPOLA 10ML (FARMACE) </t>
    </r>
  </si>
  <si>
    <r>
      <rPr>
        <sz val="8"/>
        <rFont val="Calibri"/>
        <family val="2"/>
      </rPr>
      <t>213</t>
    </r>
  </si>
  <si>
    <r>
      <rPr>
        <sz val="8"/>
        <rFont val="Calibri"/>
        <family val="2"/>
      </rPr>
      <t xml:space="preserve">82177 - LIDOCAINA CLOR+EPIN 2%+1:200 (HYPOCAINA) </t>
    </r>
  </si>
  <si>
    <r>
      <rPr>
        <sz val="8"/>
        <rFont val="Calibri"/>
        <family val="2"/>
      </rPr>
      <t>214</t>
    </r>
  </si>
  <si>
    <r>
      <rPr>
        <sz val="8"/>
        <rFont val="Calibri"/>
        <family val="2"/>
      </rPr>
      <t xml:space="preserve">90976 - LIDOCAÍNA (CLORIDRATO) + EPINEFRINA 2% + 1:200.000 SOLUÇÃO INJETÁVEL FRASCO 20ML (GENÃ?RICO) </t>
    </r>
  </si>
  <si>
    <r>
      <rPr>
        <sz val="8"/>
        <rFont val="Calibri"/>
        <family val="2"/>
      </rPr>
      <t>229</t>
    </r>
  </si>
  <si>
    <r>
      <rPr>
        <sz val="8"/>
        <rFont val="Calibri"/>
        <family val="2"/>
      </rPr>
      <t xml:space="preserve">90978 - TRAMADOL 50MG/ML SOLUÇÃO INJETÁVEL AMPOLA 1ML (GENÃ?RICO) </t>
    </r>
  </si>
  <si>
    <r>
      <rPr>
        <sz val="8"/>
        <rFont val="Calibri"/>
        <family val="2"/>
      </rPr>
      <t>234</t>
    </r>
  </si>
  <si>
    <r>
      <rPr>
        <sz val="8"/>
        <rFont val="Calibri"/>
        <family val="2"/>
      </rPr>
      <t xml:space="preserve">82085 - CURATIVO HIDROCOLOIDE 10X10 CM (WOUND CARE) </t>
    </r>
  </si>
  <si>
    <r>
      <rPr>
        <sz val="8"/>
        <rFont val="Calibri"/>
        <family val="2"/>
      </rPr>
      <t>006</t>
    </r>
  </si>
  <si>
    <r>
      <rPr>
        <sz val="8"/>
        <rFont val="Calibri"/>
        <family val="2"/>
      </rPr>
      <t xml:space="preserve">90844 - ACIDO FOLICO VIT B9 5MG COMPRIMIDO (HIPOLABOR) </t>
    </r>
  </si>
  <si>
    <r>
      <rPr>
        <sz val="8"/>
        <rFont val="Calibri"/>
        <family val="2"/>
      </rPr>
      <t>028</t>
    </r>
  </si>
  <si>
    <r>
      <rPr>
        <sz val="8"/>
        <rFont val="Calibri"/>
        <family val="2"/>
      </rPr>
      <t xml:space="preserve">81957 - BENZILPENICILINA 1.200.000UI . (TEUTO) </t>
    </r>
  </si>
  <si>
    <r>
      <rPr>
        <sz val="8"/>
        <rFont val="Calibri"/>
        <family val="2"/>
      </rPr>
      <t>039</t>
    </r>
  </si>
  <si>
    <r>
      <rPr>
        <sz val="8"/>
        <rFont val="Calibri"/>
        <family val="2"/>
      </rPr>
      <t xml:space="preserve">90863 - CARBONATO DE CALCIO 1250 MG (500 MG DE CALCIO) COMPRIMIDO (LAPON) </t>
    </r>
  </si>
  <si>
    <r>
      <rPr>
        <sz val="8"/>
        <rFont val="Calibri"/>
        <family val="2"/>
      </rPr>
      <t>062</t>
    </r>
  </si>
  <si>
    <r>
      <rPr>
        <sz val="8"/>
        <rFont val="Calibri"/>
        <family val="2"/>
      </rPr>
      <t xml:space="preserve">90883 - CLORPROMAZINA 25MG  COMPRIMIDO REVESTIDO.. (CRISTALIA) </t>
    </r>
  </si>
  <si>
    <r>
      <rPr>
        <sz val="8"/>
        <rFont val="Calibri"/>
        <family val="2"/>
      </rPr>
      <t>063</t>
    </r>
  </si>
  <si>
    <r>
      <rPr>
        <sz val="8"/>
        <rFont val="Calibri"/>
        <family val="2"/>
      </rPr>
      <t xml:space="preserve">75220 - CLORPROMAZINA CLORI.40MG/ML 20 (CRISTALIA) </t>
    </r>
  </si>
  <si>
    <r>
      <rPr>
        <sz val="8"/>
        <rFont val="Calibri"/>
        <family val="2"/>
      </rPr>
      <t>066</t>
    </r>
  </si>
  <si>
    <r>
      <rPr>
        <sz val="8"/>
        <rFont val="Calibri"/>
        <family val="2"/>
      </rPr>
      <t xml:space="preserve">90885 - COMPLEXO B (VITAMINAS DO) COMPRIMIDO CARTELA COM 10,15, 20 OU 30 COMPRIMIDOS (FONTIMUNO) </t>
    </r>
  </si>
  <si>
    <r>
      <rPr>
        <sz val="8"/>
        <rFont val="Calibri"/>
        <family val="2"/>
      </rPr>
      <t>070</t>
    </r>
  </si>
  <si>
    <r>
      <rPr>
        <sz val="8"/>
        <rFont val="Calibri"/>
        <family val="2"/>
      </rPr>
      <t xml:space="preserve">90887 - DEXCLORFENIRAMINA MALEATO 2MG COMPRIMIDO (GEOLAB) </t>
    </r>
  </si>
  <si>
    <r>
      <rPr>
        <sz val="8"/>
        <rFont val="Calibri"/>
        <family val="2"/>
      </rPr>
      <t>084</t>
    </r>
  </si>
  <si>
    <r>
      <rPr>
        <sz val="8"/>
        <rFont val="Calibri"/>
        <family val="2"/>
      </rPr>
      <t xml:space="preserve">90900 - ESCOPOLAMINA  10MG/ML SOLUÇÃO ORAL FRASCO 20ML (HIPOLABOR) </t>
    </r>
  </si>
  <si>
    <r>
      <rPr>
        <sz val="8"/>
        <rFont val="Calibri"/>
        <family val="2"/>
      </rPr>
      <t>100</t>
    </r>
  </si>
  <si>
    <r>
      <rPr>
        <sz val="8"/>
        <rFont val="Calibri"/>
        <family val="2"/>
      </rPr>
      <t xml:space="preserve">90915 - IMIPRAMINA 25 MG COMPRIMIDO (CRISTALIA) </t>
    </r>
  </si>
  <si>
    <r>
      <rPr>
        <sz val="8"/>
        <rFont val="Calibri"/>
        <family val="2"/>
      </rPr>
      <t>104</t>
    </r>
  </si>
  <si>
    <r>
      <rPr>
        <sz val="8"/>
        <rFont val="Calibri"/>
        <family val="2"/>
      </rPr>
      <t xml:space="preserve">85942 - LEVOMEPROMAZINA 4% 4MG/ML (CRISTALIA) </t>
    </r>
  </si>
  <si>
    <r>
      <rPr>
        <sz val="8"/>
        <rFont val="Calibri"/>
        <family val="2"/>
      </rPr>
      <t>124</t>
    </r>
  </si>
  <si>
    <r>
      <rPr>
        <sz val="8"/>
        <rFont val="Calibri"/>
        <family val="2"/>
      </rPr>
      <t xml:space="preserve">85961 - MICONAZOL 20MG CREME DERMA (PRATI DONADUZZI) </t>
    </r>
  </si>
  <si>
    <r>
      <rPr>
        <sz val="8"/>
        <rFont val="Calibri"/>
        <family val="2"/>
      </rPr>
      <t>146</t>
    </r>
  </si>
  <si>
    <r>
      <rPr>
        <sz val="8"/>
        <rFont val="Calibri"/>
        <family val="2"/>
      </rPr>
      <t xml:space="preserve">90948 - RACEALFATOCOFEROL (ACETATO DE) - VITAMINA E 400MG - CAPSULA MOLE (TEUTO) </t>
    </r>
  </si>
  <si>
    <r>
      <rPr>
        <sz val="8"/>
        <rFont val="Calibri"/>
        <family val="2"/>
      </rPr>
      <t>170</t>
    </r>
  </si>
  <si>
    <r>
      <rPr>
        <sz val="8"/>
        <rFont val="Calibri"/>
        <family val="2"/>
      </rPr>
      <t xml:space="preserve">81926 - AMIODARONA 50MG/ML SOL.INJ.3ML (GEOLAB) </t>
    </r>
  </si>
  <si>
    <r>
      <rPr>
        <sz val="8"/>
        <rFont val="Calibri"/>
        <family val="2"/>
      </rPr>
      <t>173</t>
    </r>
  </si>
  <si>
    <r>
      <rPr>
        <sz val="8"/>
        <rFont val="Calibri"/>
        <family val="2"/>
      </rPr>
      <t xml:space="preserve">82053 - BICABORNATO DE SODIO 8,4% SOLU (SAMTEC) </t>
    </r>
  </si>
  <si>
    <r>
      <rPr>
        <sz val="8"/>
        <rFont val="Calibri"/>
        <family val="2"/>
      </rPr>
      <t>198</t>
    </r>
  </si>
  <si>
    <r>
      <rPr>
        <sz val="8"/>
        <rFont val="Calibri"/>
        <family val="2"/>
      </rPr>
      <t xml:space="preserve">84210 - GLICONATO DE CALCIO 10% INJ 10 (ISOFARMA) </t>
    </r>
  </si>
  <si>
    <r>
      <rPr>
        <sz val="8"/>
        <rFont val="Calibri"/>
        <family val="2"/>
      </rPr>
      <t>212</t>
    </r>
  </si>
  <si>
    <r>
      <rPr>
        <sz val="8"/>
        <rFont val="Calibri"/>
        <family val="2"/>
      </rPr>
      <t xml:space="preserve">90975 - ISOSSORBIDA (MONONITRATO) 10MG/ML (BIOLAB) </t>
    </r>
  </si>
  <si>
    <r>
      <rPr>
        <sz val="8"/>
        <rFont val="Calibri"/>
        <family val="2"/>
      </rPr>
      <t>176</t>
    </r>
  </si>
  <si>
    <r>
      <rPr>
        <sz val="8"/>
        <rFont val="Calibri"/>
        <family val="2"/>
      </rPr>
      <t>75470 - CLORETO DE POTASSIO 19,1% INJ</t>
    </r>
  </si>
  <si>
    <r>
      <rPr>
        <sz val="8"/>
        <rFont val="Calibri"/>
        <family val="2"/>
      </rPr>
      <t>227</t>
    </r>
  </si>
  <si>
    <r>
      <rPr>
        <sz val="8"/>
        <rFont val="Calibri"/>
        <family val="2"/>
      </rPr>
      <t>82078 - SULFATO DE MAGNESIO 10% SOLUC.</t>
    </r>
  </si>
  <si>
    <r>
      <rPr>
        <sz val="10"/>
        <rFont val="Calibri"/>
        <family val="2"/>
      </rPr>
      <t>DISTRIMIX DISTRIBUIDORA DE MEDICAMENTOS LTDA</t>
    </r>
  </si>
  <si>
    <r>
      <rPr>
        <sz val="10"/>
        <rFont val="Calibri"/>
        <family val="2"/>
      </rPr>
      <t>FARMACIA E PERFUMARIA DE LOURDES LTDA</t>
    </r>
  </si>
  <si>
    <r>
      <rPr>
        <sz val="10"/>
        <rFont val="Calibri"/>
        <family val="2"/>
      </rPr>
      <t>GOLDEN CARE DISTRIBUIDORA EIRELI</t>
    </r>
  </si>
  <si>
    <r>
      <rPr>
        <sz val="10"/>
        <rFont val="Calibri"/>
        <family val="2"/>
      </rPr>
      <t>GUERRA MED FARMA LTDA</t>
    </r>
  </si>
  <si>
    <r>
      <rPr>
        <sz val="10"/>
        <rFont val="Calibri"/>
        <family val="2"/>
      </rPr>
      <t>ILG COMERCIAL LTDA</t>
    </r>
  </si>
  <si>
    <r>
      <rPr>
        <sz val="10"/>
        <rFont val="Calibri"/>
        <family val="2"/>
      </rPr>
      <t>MULTIFARMA COMERCIAL LTDA</t>
    </r>
  </si>
  <si>
    <r>
      <rPr>
        <sz val="10"/>
        <rFont val="Calibri"/>
        <family val="2"/>
      </rPr>
      <t xml:space="preserve">PHOENIX DISTRIBUIDORA E IMPORTADORA DE PRODUTOS FARMACEUTICOS E </t>
    </r>
  </si>
  <si>
    <r>
      <rPr>
        <sz val="10"/>
        <rFont val="Calibri"/>
        <family val="2"/>
      </rPr>
      <t>SOMA/MG PTODUTOS HOSPITALARES LTDA</t>
    </r>
  </si>
  <si>
    <r>
      <rPr>
        <sz val="10"/>
        <rFont val="Calibri"/>
        <family val="2"/>
      </rPr>
      <t>VALE COMERCIAL LTDA</t>
    </r>
  </si>
  <si>
    <r>
      <rPr>
        <sz val="10"/>
        <rFont val="Calibri"/>
        <family val="2"/>
      </rPr>
      <t>VLS MEDICAMENTOS LTDA</t>
    </r>
  </si>
  <si>
    <t>Restante</t>
  </si>
  <si>
    <t xml:space="preserve">85848 - ACEBROFILINA 5MG/ML XAROP 120ML (CIMED-NACIONAL) </t>
  </si>
  <si>
    <t xml:space="preserve">90842 - ACICLOVIR 200 MG COMPRIMIDO  (PHARLAB 1410700180069) </t>
  </si>
  <si>
    <t xml:space="preserve">82089 - ACICLOVIR 50 MG/G CREME DERMATO (cimed)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</si>
</sst>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8" formatCode="&quot;R$&quot;\ #,##0.00;[Red]\-&quot;R$&quot;\ #,##0.00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,##0.0000"/>
    <numFmt numFmtId="167" formatCode="&quot;R$&quot;\ #,##0.000000;[Red]\-&quot;R$&quot;\ #,##0.000000"/>
  </numFmts>
  <fonts count="19">
    <font>
      <sz val="11"/>
      <color theme="1"/>
      <name val="Calibri"/>
      <family val="2"/>
      <scheme val="minor"/>
    </font>
    <font>
      <b/>
      <sz val="8"/>
      <color rgb="FFFFFFFF"/>
      <name val="Arial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SansSerif"/>
      <family val="2"/>
    </font>
    <font>
      <b/>
      <sz val="10"/>
      <name val="Calibri"/>
      <family val="2"/>
    </font>
    <font>
      <sz val="10"/>
      <color rgb="FF000000"/>
      <name val="SansSerif"/>
      <family val="2"/>
    </font>
    <font>
      <sz val="10"/>
      <name val="Calibri"/>
      <family val="2"/>
    </font>
    <font>
      <b/>
      <sz val="8"/>
      <color rgb="FF000000"/>
      <name val="SansSerif"/>
      <family val="2"/>
    </font>
    <font>
      <b/>
      <sz val="8"/>
      <name val="Calibri"/>
      <family val="2"/>
    </font>
    <font>
      <sz val="8"/>
      <color rgb="FF000000"/>
      <name val="SansSerif"/>
      <family val="2"/>
    </font>
    <font>
      <sz val="8"/>
      <name val="Calibri"/>
      <family val="2"/>
    </font>
    <font>
      <b/>
      <sz val="8"/>
      <color rgb="FF000000"/>
      <name val="SansSerif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3CB371"/>
        <bgColor indexed="64"/>
      </patternFill>
    </fill>
    <fill>
      <patternFill patternType="solid">
        <fgColor rgb="FFF0F8FF"/>
        <bgColor indexed="64"/>
      </patternFill>
    </fill>
    <fill>
      <patternFill patternType="solid">
        <fgColor rgb="FFFFFFFF"/>
      </patternFill>
    </fill>
  </fills>
  <borders count="10">
    <border>
      <left/>
      <right/>
      <top/>
      <bottom/>
      <diagonal/>
    </border>
    <border>
      <left style="medium">
        <color rgb="FFD2D2D2"/>
      </left>
      <right style="medium">
        <color rgb="FFD2D2D2"/>
      </right>
      <top style="medium">
        <color rgb="FFD2D2D2"/>
      </top>
      <bottom style="medium">
        <color rgb="FFD2D2D2"/>
      </bottom>
      <diagonal/>
    </border>
    <border>
      <left style="medium">
        <color rgb="FFD2D2D2"/>
      </left>
      <right/>
      <top style="medium">
        <color rgb="FFD2D2D2"/>
      </top>
      <bottom style="medium">
        <color rgb="FFD2D2D2"/>
      </bottom>
      <diagonal/>
    </border>
    <border>
      <left/>
      <right style="medium">
        <color rgb="FFD2D2D2"/>
      </right>
      <top style="medium">
        <color rgb="FFD2D2D2"/>
      </top>
      <bottom style="medium">
        <color rgb="FFD2D2D2"/>
      </bottom>
      <diagonal/>
    </border>
    <border>
      <left/>
      <right/>
      <top style="medium">
        <color rgb="FFD2D2D2"/>
      </top>
      <bottom/>
      <diagonal/>
    </border>
    <border>
      <left/>
      <right/>
      <top style="medium">
        <color rgb="FFD2D2D2"/>
      </top>
      <bottom style="medium">
        <color rgb="FFD2D2D2"/>
      </bottom>
      <diagonal/>
    </border>
    <border>
      <left style="thin">
        <color rgb="FF666666"/>
      </left>
      <right/>
      <top style="thin">
        <color rgb="FF666666"/>
      </top>
      <bottom style="thin">
        <color rgb="FF666666"/>
      </bottom>
      <diagonal/>
    </border>
    <border>
      <left/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6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8" fontId="2" fillId="2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8" fontId="2" fillId="4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 applyProtection="1">
      <alignment horizontal="left" vertical="center" wrapText="1"/>
      <protection locked="0"/>
    </xf>
    <xf numFmtId="8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4" borderId="1" xfId="0" applyFont="1" applyFill="1" applyBorder="1" applyAlignment="1" applyProtection="1">
      <alignment horizontal="center" vertical="center" wrapText="1"/>
      <protection locked="0"/>
    </xf>
    <xf numFmtId="0" fontId="2" fillId="4" borderId="1" xfId="0" applyFont="1" applyFill="1" applyBorder="1" applyAlignment="1" applyProtection="1">
      <alignment horizontal="left" vertical="center" wrapText="1"/>
      <protection locked="0"/>
    </xf>
    <xf numFmtId="8" fontId="2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Alignment="1">
      <alignment horizontal="center" vertical="center" wrapText="1"/>
    </xf>
    <xf numFmtId="3" fontId="0" fillId="0" borderId="0" xfId="0" applyNumberFormat="1"/>
    <xf numFmtId="0" fontId="1" fillId="3" borderId="2" xfId="0" applyFont="1" applyFill="1" applyBorder="1" applyAlignment="1" applyProtection="1">
      <alignment horizontal="center" vertical="center" wrapText="1"/>
      <protection locked="0"/>
    </xf>
    <xf numFmtId="0" fontId="1" fillId="3" borderId="3" xfId="0" applyFont="1" applyFill="1" applyBorder="1" applyAlignment="1" applyProtection="1">
      <alignment horizontal="center" vertical="center" wrapText="1"/>
      <protection locked="0"/>
    </xf>
    <xf numFmtId="0" fontId="6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 applyProtection="1">
      <alignment horizontal="center" vertical="center" wrapText="1"/>
      <protection locked="0"/>
    </xf>
    <xf numFmtId="0" fontId="6" fillId="4" borderId="1" xfId="0" applyFont="1" applyFill="1" applyBorder="1" applyAlignment="1">
      <alignment horizontal="center" vertical="center" wrapText="1"/>
    </xf>
    <xf numFmtId="164" fontId="0" fillId="0" borderId="0" xfId="1" applyNumberFormat="1" applyFont="1"/>
    <xf numFmtId="14" fontId="0" fillId="0" borderId="0" xfId="0" applyNumberFormat="1"/>
    <xf numFmtId="164" fontId="5" fillId="0" borderId="0" xfId="1" applyNumberFormat="1" applyFont="1"/>
    <xf numFmtId="164" fontId="8" fillId="0" borderId="0" xfId="1" applyNumberFormat="1" applyFont="1"/>
    <xf numFmtId="0" fontId="9" fillId="0" borderId="0" xfId="0" applyFont="1"/>
    <xf numFmtId="0" fontId="10" fillId="5" borderId="6" xfId="0" applyNumberFormat="1" applyFont="1" applyFill="1" applyBorder="1" applyAlignment="1" applyProtection="1">
      <alignment horizontal="left" vertical="center"/>
    </xf>
    <xf numFmtId="0" fontId="12" fillId="5" borderId="7" xfId="0" applyNumberFormat="1" applyFont="1" applyFill="1" applyBorder="1" applyAlignment="1" applyProtection="1">
      <alignment vertical="center"/>
    </xf>
    <xf numFmtId="0" fontId="0" fillId="0" borderId="0" xfId="0" applyAlignment="1"/>
    <xf numFmtId="0" fontId="12" fillId="5" borderId="7" xfId="0" applyNumberFormat="1" applyFont="1" applyFill="1" applyBorder="1" applyAlignment="1" applyProtection="1">
      <alignment vertical="center"/>
      <protection locked="0"/>
    </xf>
    <xf numFmtId="0" fontId="14" fillId="5" borderId="8" xfId="0" applyNumberFormat="1" applyFont="1" applyFill="1" applyBorder="1" applyAlignment="1" applyProtection="1">
      <alignment vertical="center"/>
    </xf>
    <xf numFmtId="0" fontId="14" fillId="5" borderId="8" xfId="0" applyNumberFormat="1" applyFont="1" applyFill="1" applyBorder="1" applyAlignment="1" applyProtection="1">
      <alignment horizontal="center" vertical="center"/>
    </xf>
    <xf numFmtId="0" fontId="16" fillId="5" borderId="8" xfId="0" applyNumberFormat="1" applyFont="1" applyFill="1" applyBorder="1" applyAlignment="1" applyProtection="1">
      <alignment vertical="center"/>
    </xf>
    <xf numFmtId="0" fontId="14" fillId="5" borderId="8" xfId="0" applyNumberFormat="1" applyFont="1" applyFill="1" applyBorder="1" applyAlignment="1" applyProtection="1">
      <alignment vertical="center"/>
      <protection locked="0"/>
    </xf>
    <xf numFmtId="0" fontId="10" fillId="5" borderId="6" xfId="0" applyNumberFormat="1" applyFont="1" applyFill="1" applyBorder="1" applyAlignment="1" applyProtection="1">
      <alignment vertical="center"/>
    </xf>
    <xf numFmtId="0" fontId="16" fillId="5" borderId="8" xfId="0" applyNumberFormat="1" applyFont="1" applyFill="1" applyBorder="1" applyAlignment="1" applyProtection="1">
      <alignment horizontal="center" vertical="center"/>
    </xf>
    <xf numFmtId="2" fontId="14" fillId="5" borderId="8" xfId="0" applyNumberFormat="1" applyFont="1" applyFill="1" applyBorder="1" applyAlignment="1" applyProtection="1">
      <alignment horizontal="center" vertical="center"/>
    </xf>
    <xf numFmtId="2" fontId="0" fillId="0" borderId="0" xfId="0" applyNumberFormat="1" applyAlignment="1">
      <alignment horizontal="center"/>
    </xf>
    <xf numFmtId="2" fontId="10" fillId="5" borderId="6" xfId="0" applyNumberFormat="1" applyFont="1" applyFill="1" applyBorder="1" applyAlignment="1" applyProtection="1">
      <alignment horizontal="center" vertical="center"/>
      <protection locked="0"/>
    </xf>
    <xf numFmtId="2" fontId="14" fillId="5" borderId="8" xfId="0" applyNumberFormat="1" applyFont="1" applyFill="1" applyBorder="1" applyAlignment="1" applyProtection="1">
      <alignment horizontal="center" vertical="center"/>
      <protection locked="0"/>
    </xf>
    <xf numFmtId="2" fontId="12" fillId="5" borderId="7" xfId="0" applyNumberFormat="1" applyFont="1" applyFill="1" applyBorder="1" applyAlignment="1" applyProtection="1">
      <alignment horizontal="left" vertical="center"/>
    </xf>
    <xf numFmtId="165" fontId="12" fillId="5" borderId="7" xfId="0" applyNumberFormat="1" applyFont="1" applyFill="1" applyBorder="1" applyAlignment="1" applyProtection="1">
      <alignment vertical="center"/>
      <protection locked="0"/>
    </xf>
    <xf numFmtId="165" fontId="14" fillId="5" borderId="8" xfId="0" applyNumberFormat="1" applyFont="1" applyFill="1" applyBorder="1" applyAlignment="1" applyProtection="1">
      <alignment vertical="center"/>
    </xf>
    <xf numFmtId="165" fontId="16" fillId="5" borderId="8" xfId="0" applyNumberFormat="1" applyFont="1" applyFill="1" applyBorder="1" applyAlignment="1" applyProtection="1">
      <alignment vertical="center"/>
    </xf>
    <xf numFmtId="165" fontId="10" fillId="5" borderId="8" xfId="0" applyNumberFormat="1" applyFont="1" applyFill="1" applyBorder="1" applyAlignment="1" applyProtection="1">
      <alignment vertical="center"/>
    </xf>
    <xf numFmtId="165" fontId="0" fillId="0" borderId="0" xfId="0" applyNumberFormat="1" applyAlignment="1"/>
    <xf numFmtId="165" fontId="0" fillId="0" borderId="0" xfId="0" applyNumberFormat="1"/>
    <xf numFmtId="166" fontId="12" fillId="5" borderId="7" xfId="0" applyNumberFormat="1" applyFont="1" applyFill="1" applyBorder="1" applyAlignment="1" applyProtection="1">
      <alignment vertical="center"/>
      <protection locked="0"/>
    </xf>
    <xf numFmtId="166" fontId="14" fillId="5" borderId="8" xfId="0" applyNumberFormat="1" applyFont="1" applyFill="1" applyBorder="1" applyAlignment="1" applyProtection="1">
      <alignment horizontal="center" vertical="center"/>
    </xf>
    <xf numFmtId="166" fontId="16" fillId="5" borderId="8" xfId="0" applyNumberFormat="1" applyFont="1" applyFill="1" applyBorder="1" applyAlignment="1" applyProtection="1">
      <alignment horizontal="right" vertical="center"/>
    </xf>
    <xf numFmtId="166" fontId="14" fillId="5" borderId="8" xfId="0" applyNumberFormat="1" applyFont="1" applyFill="1" applyBorder="1" applyAlignment="1" applyProtection="1">
      <alignment vertical="center"/>
      <protection locked="0"/>
    </xf>
    <xf numFmtId="166" fontId="0" fillId="0" borderId="0" xfId="0" applyNumberFormat="1" applyAlignment="1"/>
    <xf numFmtId="166" fontId="0" fillId="0" borderId="9" xfId="0" applyNumberFormat="1" applyBorder="1" applyAlignment="1"/>
    <xf numFmtId="166" fontId="10" fillId="5" borderId="8" xfId="0" applyNumberFormat="1" applyFont="1" applyFill="1" applyBorder="1" applyAlignment="1" applyProtection="1">
      <alignment vertical="center"/>
    </xf>
    <xf numFmtId="166" fontId="0" fillId="0" borderId="0" xfId="0" applyNumberFormat="1"/>
    <xf numFmtId="0" fontId="0" fillId="0" borderId="0" xfId="0"/>
    <xf numFmtId="1" fontId="12" fillId="5" borderId="0" xfId="0" applyNumberFormat="1" applyFont="1" applyFill="1" applyBorder="1" applyAlignment="1" applyProtection="1">
      <alignment horizontal="left" vertical="center"/>
    </xf>
    <xf numFmtId="1" fontId="14" fillId="5" borderId="8" xfId="0" applyNumberFormat="1" applyFont="1" applyFill="1" applyBorder="1" applyAlignment="1" applyProtection="1">
      <alignment horizontal="center" vertical="center"/>
    </xf>
    <xf numFmtId="1" fontId="18" fillId="5" borderId="8" xfId="0" applyNumberFormat="1" applyFont="1" applyFill="1" applyBorder="1" applyAlignment="1" applyProtection="1">
      <alignment horizontal="center" vertical="center"/>
    </xf>
    <xf numFmtId="1" fontId="14" fillId="5" borderId="8" xfId="0" applyNumberFormat="1" applyFont="1" applyFill="1" applyBorder="1" applyAlignment="1" applyProtection="1">
      <alignment horizontal="center" vertical="center"/>
      <protection locked="0"/>
    </xf>
    <xf numFmtId="1" fontId="0" fillId="0" borderId="0" xfId="0" applyNumberFormat="1" applyAlignment="1">
      <alignment horizontal="center"/>
    </xf>
    <xf numFmtId="0" fontId="5" fillId="0" borderId="0" xfId="0" applyFont="1"/>
    <xf numFmtId="167" fontId="2" fillId="2" borderId="1" xfId="0" applyNumberFormat="1" applyFont="1" applyFill="1" applyBorder="1" applyAlignment="1">
      <alignment horizontal="center" vertical="center" wrapText="1"/>
    </xf>
    <xf numFmtId="0" fontId="17" fillId="5" borderId="8" xfId="0" applyNumberFormat="1" applyFont="1" applyFill="1" applyBorder="1" applyAlignment="1" applyProtection="1">
      <alignment vertical="center"/>
    </xf>
    <xf numFmtId="0" fontId="4" fillId="0" borderId="5" xfId="0" applyFont="1" applyBorder="1" applyAlignment="1">
      <alignment horizontal="center"/>
    </xf>
    <xf numFmtId="0" fontId="4" fillId="0" borderId="4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tabSelected="1" workbookViewId="0">
      <pane ySplit="1" topLeftCell="A2" activePane="bottomLeft" state="frozen"/>
      <selection pane="bottomLeft" activeCell="L11" sqref="L11"/>
    </sheetView>
  </sheetViews>
  <sheetFormatPr defaultRowHeight="15"/>
  <cols>
    <col min="2" max="2" width="36.85546875" customWidth="1"/>
    <col min="3" max="3" width="15.28515625" customWidth="1"/>
    <col min="4" max="4" width="11.28515625" customWidth="1"/>
    <col min="5" max="5" width="9.85546875" customWidth="1"/>
    <col min="6" max="6" width="9.7109375" customWidth="1"/>
    <col min="7" max="7" width="9.140625" style="55"/>
    <col min="8" max="8" width="9.7109375" bestFit="1" customWidth="1"/>
  </cols>
  <sheetData>
    <row r="1" spans="1:8" ht="34.5" thickBot="1">
      <c r="A1" s="16" t="s">
        <v>0</v>
      </c>
      <c r="B1" s="17"/>
      <c r="C1" s="7" t="s">
        <v>1</v>
      </c>
      <c r="D1" s="7" t="s">
        <v>2</v>
      </c>
      <c r="E1" s="7" t="s">
        <v>3</v>
      </c>
      <c r="F1" s="7"/>
      <c r="G1" s="7"/>
      <c r="H1" s="7" t="s">
        <v>4</v>
      </c>
    </row>
    <row r="2" spans="1:8" ht="15.75" thickBot="1">
      <c r="A2" s="64" t="s">
        <v>17</v>
      </c>
      <c r="B2" s="64"/>
      <c r="C2" s="64"/>
      <c r="D2" s="64"/>
      <c r="E2" s="64"/>
      <c r="F2" s="64"/>
      <c r="G2" s="64"/>
      <c r="H2" s="64"/>
    </row>
    <row r="3" spans="1:8" ht="23.25" thickBot="1">
      <c r="A3" s="8">
        <v>1</v>
      </c>
      <c r="B3" s="9" t="s">
        <v>5</v>
      </c>
      <c r="C3" s="8" t="s">
        <v>6</v>
      </c>
      <c r="D3" s="8">
        <v>50</v>
      </c>
      <c r="E3" s="8">
        <v>50</v>
      </c>
      <c r="F3" s="8"/>
      <c r="G3" s="8"/>
      <c r="H3" s="10">
        <v>9.1646000000000001</v>
      </c>
    </row>
    <row r="4" spans="1:8" ht="34.5" thickBot="1">
      <c r="A4" s="11">
        <v>2</v>
      </c>
      <c r="B4" s="12" t="s">
        <v>7</v>
      </c>
      <c r="C4" s="11" t="s">
        <v>8</v>
      </c>
      <c r="D4" s="11">
        <v>100</v>
      </c>
      <c r="E4" s="11">
        <v>600</v>
      </c>
      <c r="F4" s="19"/>
      <c r="G4" s="19"/>
      <c r="H4" s="13">
        <v>0.89649999999999996</v>
      </c>
    </row>
    <row r="5" spans="1:8" ht="45.75" thickBot="1">
      <c r="A5" s="8">
        <v>3</v>
      </c>
      <c r="B5" s="9" t="s">
        <v>9</v>
      </c>
      <c r="C5" s="8" t="s">
        <v>10</v>
      </c>
      <c r="D5" s="8">
        <v>200</v>
      </c>
      <c r="E5" s="8">
        <v>200</v>
      </c>
      <c r="F5" s="8"/>
      <c r="G5" s="8"/>
      <c r="H5" s="10">
        <v>4.681</v>
      </c>
    </row>
    <row r="6" spans="1:8" ht="23.25" customHeight="1" thickBot="1">
      <c r="A6" s="11">
        <v>4</v>
      </c>
      <c r="B6" s="12" t="s">
        <v>11</v>
      </c>
      <c r="C6" s="11" t="s">
        <v>12</v>
      </c>
      <c r="D6" s="11">
        <v>42</v>
      </c>
      <c r="E6" s="11">
        <v>20000</v>
      </c>
      <c r="F6" s="11"/>
      <c r="G6" s="11"/>
      <c r="H6" s="13">
        <v>0.1396</v>
      </c>
    </row>
    <row r="7" spans="1:8" ht="23.25" thickBot="1">
      <c r="A7" s="8">
        <v>5</v>
      </c>
      <c r="B7" s="9" t="s">
        <v>13</v>
      </c>
      <c r="C7" s="8" t="s">
        <v>12</v>
      </c>
      <c r="D7" s="8">
        <v>500</v>
      </c>
      <c r="E7" s="8">
        <v>25000</v>
      </c>
      <c r="F7" s="8"/>
      <c r="G7" s="8"/>
      <c r="H7" s="10">
        <v>9.8900000000000002E-2</v>
      </c>
    </row>
    <row r="8" spans="1:8" ht="23.25" thickBot="1">
      <c r="A8" s="11">
        <v>6</v>
      </c>
      <c r="B8" s="12" t="s">
        <v>14</v>
      </c>
      <c r="C8" s="11" t="s">
        <v>12</v>
      </c>
      <c r="D8" s="11">
        <v>30</v>
      </c>
      <c r="E8" s="11">
        <v>4000</v>
      </c>
      <c r="F8" s="11"/>
      <c r="G8" s="11"/>
      <c r="H8" s="13">
        <v>7.4800000000000005E-2</v>
      </c>
    </row>
    <row r="9" spans="1:8" ht="23.25" thickBot="1">
      <c r="A9" s="8">
        <v>7</v>
      </c>
      <c r="B9" s="9" t="s">
        <v>15</v>
      </c>
      <c r="C9" s="8" t="s">
        <v>16</v>
      </c>
      <c r="D9" s="8">
        <v>30</v>
      </c>
      <c r="E9" s="8">
        <v>25000</v>
      </c>
      <c r="F9" s="8"/>
      <c r="G9" s="8"/>
      <c r="H9" s="10">
        <v>0.1082</v>
      </c>
    </row>
    <row r="10" spans="1:8" ht="15.75" customHeight="1" thickBot="1">
      <c r="A10" s="65" t="s">
        <v>30</v>
      </c>
      <c r="B10" s="65"/>
      <c r="C10" s="65"/>
      <c r="D10" s="65"/>
      <c r="E10" s="65"/>
      <c r="F10" s="65"/>
      <c r="G10" s="65"/>
      <c r="H10" s="65"/>
    </row>
    <row r="11" spans="1:8" ht="23.25" thickBot="1">
      <c r="A11" s="14">
        <v>1</v>
      </c>
      <c r="B11" s="2" t="s">
        <v>18</v>
      </c>
      <c r="C11" s="1" t="s">
        <v>16</v>
      </c>
      <c r="D11" s="1">
        <v>30</v>
      </c>
      <c r="E11" s="1">
        <v>2000</v>
      </c>
      <c r="F11" s="1"/>
      <c r="G11" s="1"/>
      <c r="H11" s="3">
        <v>0.25380000000000003</v>
      </c>
    </row>
    <row r="12" spans="1:8" ht="15.75" thickBot="1">
      <c r="A12" s="4">
        <v>2</v>
      </c>
      <c r="B12" s="5" t="s">
        <v>19</v>
      </c>
      <c r="C12" s="4" t="s">
        <v>12</v>
      </c>
      <c r="D12" s="4">
        <v>30</v>
      </c>
      <c r="E12" s="4">
        <v>10000</v>
      </c>
      <c r="F12" s="4"/>
      <c r="G12" s="4"/>
      <c r="H12" s="6">
        <v>6.2100000000000002E-2</v>
      </c>
    </row>
    <row r="13" spans="1:8" ht="23.25" thickBot="1">
      <c r="A13" s="1">
        <v>3</v>
      </c>
      <c r="B13" s="2" t="s">
        <v>20</v>
      </c>
      <c r="C13" s="1" t="s">
        <v>12</v>
      </c>
      <c r="D13" s="1">
        <v>50</v>
      </c>
      <c r="E13" s="1">
        <v>8000</v>
      </c>
      <c r="F13" s="1"/>
      <c r="G13" s="1"/>
      <c r="H13" s="3">
        <v>0.13</v>
      </c>
    </row>
    <row r="14" spans="1:8" ht="23.25" thickBot="1">
      <c r="A14" s="4">
        <v>4</v>
      </c>
      <c r="B14" s="5" t="s">
        <v>21</v>
      </c>
      <c r="C14" s="4" t="s">
        <v>22</v>
      </c>
      <c r="D14" s="4">
        <v>50</v>
      </c>
      <c r="E14" s="4">
        <v>100</v>
      </c>
      <c r="F14" s="4"/>
      <c r="G14" s="4"/>
      <c r="H14" s="6">
        <v>1.5972</v>
      </c>
    </row>
    <row r="15" spans="1:8" ht="34.5" thickBot="1">
      <c r="A15" s="1">
        <v>5</v>
      </c>
      <c r="B15" s="2" t="s">
        <v>23</v>
      </c>
      <c r="C15" s="1" t="s">
        <v>24</v>
      </c>
      <c r="D15" s="1">
        <v>1</v>
      </c>
      <c r="E15" s="1">
        <v>30</v>
      </c>
      <c r="F15" s="1"/>
      <c r="G15" s="1"/>
      <c r="H15" s="3">
        <v>5.9622999999999999</v>
      </c>
    </row>
    <row r="16" spans="1:8" ht="23.25" thickBot="1">
      <c r="A16" s="4">
        <v>6</v>
      </c>
      <c r="B16" s="5" t="s">
        <v>25</v>
      </c>
      <c r="C16" s="4" t="s">
        <v>26</v>
      </c>
      <c r="D16" s="4">
        <v>24</v>
      </c>
      <c r="E16" s="4">
        <v>24</v>
      </c>
      <c r="F16" s="4"/>
      <c r="G16" s="4"/>
      <c r="H16" s="6">
        <v>32.582900000000002</v>
      </c>
    </row>
    <row r="17" spans="1:8" ht="34.5" thickBot="1">
      <c r="A17" s="1">
        <v>7</v>
      </c>
      <c r="B17" s="2" t="s">
        <v>27</v>
      </c>
      <c r="C17" s="1" t="s">
        <v>6</v>
      </c>
      <c r="D17" s="1">
        <v>100</v>
      </c>
      <c r="E17" s="1">
        <v>1000</v>
      </c>
      <c r="F17" s="1"/>
      <c r="G17" s="1"/>
      <c r="H17" s="3">
        <v>1.0757000000000001</v>
      </c>
    </row>
    <row r="18" spans="1:8" ht="34.5" thickBot="1">
      <c r="A18" s="4">
        <v>8</v>
      </c>
      <c r="B18" s="5" t="s">
        <v>28</v>
      </c>
      <c r="C18" s="4" t="s">
        <v>29</v>
      </c>
      <c r="D18" s="4">
        <v>1</v>
      </c>
      <c r="E18" s="4">
        <v>400</v>
      </c>
      <c r="F18" s="4"/>
      <c r="G18" s="4"/>
      <c r="H18" s="6">
        <v>1.4414</v>
      </c>
    </row>
    <row r="19" spans="1:8" ht="15.75" thickBot="1">
      <c r="A19" s="64" t="s">
        <v>31</v>
      </c>
      <c r="B19" s="64"/>
      <c r="C19" s="64"/>
      <c r="D19" s="64"/>
      <c r="E19" s="64"/>
      <c r="F19" s="64"/>
      <c r="G19" s="64"/>
      <c r="H19" s="64"/>
    </row>
    <row r="20" spans="1:8" ht="23.25" thickBot="1">
      <c r="A20" s="1">
        <v>1</v>
      </c>
      <c r="B20" s="2" t="s">
        <v>32</v>
      </c>
      <c r="C20" s="1" t="s">
        <v>12</v>
      </c>
      <c r="D20" s="1">
        <v>30</v>
      </c>
      <c r="E20" s="1">
        <v>300</v>
      </c>
      <c r="F20" s="1"/>
      <c r="G20" s="1"/>
      <c r="H20" s="3">
        <v>0.28000000000000003</v>
      </c>
    </row>
    <row r="21" spans="1:8" ht="23.25" thickBot="1">
      <c r="A21" s="4">
        <v>2</v>
      </c>
      <c r="B21" s="5" t="s">
        <v>33</v>
      </c>
      <c r="C21" s="4" t="s">
        <v>16</v>
      </c>
      <c r="D21" s="4">
        <v>20</v>
      </c>
      <c r="E21" s="4">
        <v>1000</v>
      </c>
      <c r="F21" s="4"/>
      <c r="G21" s="4"/>
      <c r="H21" s="6">
        <v>0.4199</v>
      </c>
    </row>
    <row r="22" spans="1:8" ht="23.25" thickBot="1">
      <c r="A22" s="1">
        <v>3</v>
      </c>
      <c r="B22" s="2" t="s">
        <v>34</v>
      </c>
      <c r="C22" s="1" t="s">
        <v>35</v>
      </c>
      <c r="D22" s="1">
        <v>30</v>
      </c>
      <c r="E22" s="1">
        <v>4000</v>
      </c>
      <c r="F22" s="1"/>
      <c r="G22" s="1"/>
      <c r="H22" s="3">
        <v>0.78820000000000001</v>
      </c>
    </row>
    <row r="23" spans="1:8" ht="15.75" thickBot="1">
      <c r="A23" s="4">
        <v>4</v>
      </c>
      <c r="B23" s="5" t="s">
        <v>36</v>
      </c>
      <c r="C23" s="4" t="s">
        <v>12</v>
      </c>
      <c r="D23" s="4">
        <v>30</v>
      </c>
      <c r="E23" s="4">
        <v>10000</v>
      </c>
      <c r="F23" s="4"/>
      <c r="G23" s="4"/>
      <c r="H23" s="6">
        <v>7.22E-2</v>
      </c>
    </row>
    <row r="24" spans="1:8" ht="15.75" thickBot="1">
      <c r="A24" s="1">
        <v>5</v>
      </c>
      <c r="B24" s="2" t="s">
        <v>37</v>
      </c>
      <c r="C24" s="1" t="s">
        <v>12</v>
      </c>
      <c r="D24" s="1">
        <v>60</v>
      </c>
      <c r="E24" s="1">
        <v>8000</v>
      </c>
      <c r="F24" s="1"/>
      <c r="G24" s="1"/>
      <c r="H24" s="3">
        <v>0.14910000000000001</v>
      </c>
    </row>
    <row r="25" spans="1:8" ht="15.75" customHeight="1" thickBot="1">
      <c r="A25" s="66" t="s">
        <v>38</v>
      </c>
      <c r="B25" s="66"/>
      <c r="C25" s="66"/>
      <c r="D25" s="66"/>
      <c r="E25" s="66"/>
      <c r="F25" s="66"/>
      <c r="G25" s="66"/>
      <c r="H25" s="66"/>
    </row>
    <row r="26" spans="1:8" ht="57" thickBot="1">
      <c r="A26" s="1">
        <v>1</v>
      </c>
      <c r="B26" s="2" t="s">
        <v>39</v>
      </c>
      <c r="C26" s="1" t="s">
        <v>8</v>
      </c>
      <c r="D26" s="1">
        <v>25</v>
      </c>
      <c r="E26" s="1">
        <v>500</v>
      </c>
      <c r="F26" s="1"/>
      <c r="G26" s="1"/>
      <c r="H26" s="3">
        <v>3.53</v>
      </c>
    </row>
    <row r="27" spans="1:8" ht="23.25" thickBot="1">
      <c r="A27" s="4">
        <v>2</v>
      </c>
      <c r="B27" s="5" t="s">
        <v>40</v>
      </c>
      <c r="C27" s="4" t="s">
        <v>16</v>
      </c>
      <c r="D27" s="4">
        <v>200</v>
      </c>
      <c r="E27" s="4">
        <v>4000</v>
      </c>
      <c r="F27" s="4"/>
      <c r="G27" s="4"/>
      <c r="H27" s="6">
        <v>0.41499999999999998</v>
      </c>
    </row>
    <row r="28" spans="1:8" ht="34.5" thickBot="1">
      <c r="A28" s="1">
        <v>3</v>
      </c>
      <c r="B28" s="2" t="s">
        <v>41</v>
      </c>
      <c r="C28" s="1" t="s">
        <v>42</v>
      </c>
      <c r="D28" s="1">
        <v>10</v>
      </c>
      <c r="E28" s="1">
        <v>30</v>
      </c>
      <c r="F28" s="1"/>
      <c r="G28" s="1"/>
      <c r="H28" s="3">
        <v>15.79</v>
      </c>
    </row>
    <row r="29" spans="1:8" ht="23.25" thickBot="1">
      <c r="A29" s="4">
        <v>4</v>
      </c>
      <c r="B29" s="5" t="s">
        <v>43</v>
      </c>
      <c r="C29" s="4" t="s">
        <v>44</v>
      </c>
      <c r="D29" s="4">
        <v>25</v>
      </c>
      <c r="E29" s="4">
        <v>25</v>
      </c>
      <c r="F29" s="4"/>
      <c r="G29" s="4"/>
      <c r="H29" s="6">
        <v>9.5609999999999999</v>
      </c>
    </row>
    <row r="30" spans="1:8" ht="34.5" thickBot="1">
      <c r="A30" s="1">
        <v>5</v>
      </c>
      <c r="B30" s="2" t="s">
        <v>45</v>
      </c>
      <c r="C30" s="1" t="s">
        <v>46</v>
      </c>
      <c r="D30" s="1">
        <v>10</v>
      </c>
      <c r="E30" s="1">
        <v>10</v>
      </c>
      <c r="F30" s="1"/>
      <c r="G30" s="1"/>
      <c r="H30" s="3">
        <v>12.89</v>
      </c>
    </row>
    <row r="31" spans="1:8" ht="23.25" thickBot="1">
      <c r="A31" s="4">
        <v>6</v>
      </c>
      <c r="B31" s="5" t="s">
        <v>47</v>
      </c>
      <c r="C31" s="4" t="s">
        <v>46</v>
      </c>
      <c r="D31" s="4">
        <v>10</v>
      </c>
      <c r="E31" s="4">
        <v>10</v>
      </c>
      <c r="F31" s="4"/>
      <c r="G31" s="4"/>
      <c r="H31" s="6">
        <v>39.020000000000003</v>
      </c>
    </row>
    <row r="32" spans="1:8" ht="34.5" thickBot="1">
      <c r="A32" s="1">
        <v>7</v>
      </c>
      <c r="B32" s="2" t="s">
        <v>48</v>
      </c>
      <c r="C32" s="1" t="s">
        <v>8</v>
      </c>
      <c r="D32" s="1">
        <v>100</v>
      </c>
      <c r="E32" s="1">
        <v>50</v>
      </c>
      <c r="F32" s="1"/>
      <c r="G32" s="1"/>
      <c r="H32" s="3">
        <v>4.7</v>
      </c>
    </row>
    <row r="33" spans="1:8" ht="15.75" thickBot="1">
      <c r="A33" s="64" t="s">
        <v>49</v>
      </c>
      <c r="B33" s="64"/>
      <c r="C33" s="64"/>
      <c r="D33" s="64"/>
      <c r="E33" s="64"/>
      <c r="F33" s="64"/>
      <c r="G33" s="64"/>
      <c r="H33" s="64"/>
    </row>
    <row r="34" spans="1:8" ht="23.25" thickBot="1">
      <c r="A34" s="1">
        <v>1</v>
      </c>
      <c r="B34" s="2" t="s">
        <v>50</v>
      </c>
      <c r="C34" s="1" t="s">
        <v>16</v>
      </c>
      <c r="D34" s="1">
        <v>300</v>
      </c>
      <c r="E34" s="1">
        <v>20000</v>
      </c>
      <c r="F34" s="1"/>
      <c r="G34" s="1"/>
      <c r="H34" s="3">
        <v>8.8999999999999996E-2</v>
      </c>
    </row>
    <row r="35" spans="1:8" ht="23.25" thickBot="1">
      <c r="A35" s="4">
        <v>2</v>
      </c>
      <c r="B35" s="5" t="s">
        <v>51</v>
      </c>
      <c r="C35" s="4" t="s">
        <v>12</v>
      </c>
      <c r="D35" s="4">
        <v>500</v>
      </c>
      <c r="E35" s="4">
        <v>1000</v>
      </c>
      <c r="F35" s="4"/>
      <c r="G35" s="4"/>
      <c r="H35" s="6">
        <v>0.04</v>
      </c>
    </row>
    <row r="36" spans="1:8" ht="15.75" thickBot="1">
      <c r="A36" s="64" t="s">
        <v>52</v>
      </c>
      <c r="B36" s="64"/>
      <c r="C36" s="64"/>
      <c r="D36" s="64"/>
      <c r="E36" s="64"/>
      <c r="F36" s="64"/>
      <c r="G36" s="64"/>
      <c r="H36" s="64"/>
    </row>
    <row r="37" spans="1:8" ht="23.25" thickBot="1">
      <c r="A37" s="1">
        <v>1</v>
      </c>
      <c r="B37" s="2" t="s">
        <v>53</v>
      </c>
      <c r="C37" s="1" t="s">
        <v>16</v>
      </c>
      <c r="D37" s="1">
        <v>60</v>
      </c>
      <c r="E37" s="1">
        <v>1440</v>
      </c>
      <c r="F37" s="1"/>
      <c r="G37" s="1"/>
      <c r="H37" s="3">
        <v>1.81</v>
      </c>
    </row>
    <row r="38" spans="1:8" ht="15.75" thickBot="1">
      <c r="A38" s="64" t="s">
        <v>54</v>
      </c>
      <c r="B38" s="64"/>
      <c r="C38" s="64"/>
      <c r="D38" s="64"/>
      <c r="E38" s="64"/>
      <c r="F38" s="64"/>
      <c r="G38" s="64"/>
      <c r="H38" s="64"/>
    </row>
    <row r="39" spans="1:8" ht="15.75" thickBot="1">
      <c r="A39" s="1">
        <v>1</v>
      </c>
      <c r="B39" s="2" t="s">
        <v>55</v>
      </c>
      <c r="C39" s="1" t="s">
        <v>12</v>
      </c>
      <c r="D39" s="1">
        <v>600</v>
      </c>
      <c r="E39" s="1">
        <v>15000</v>
      </c>
      <c r="F39" s="1"/>
      <c r="G39" s="1"/>
      <c r="H39" s="3">
        <v>0.03</v>
      </c>
    </row>
    <row r="40" spans="1:8" ht="15.75" thickBot="1">
      <c r="A40" s="4">
        <v>2</v>
      </c>
      <c r="B40" s="5" t="s">
        <v>56</v>
      </c>
      <c r="C40" s="4" t="s">
        <v>12</v>
      </c>
      <c r="D40" s="4">
        <v>90</v>
      </c>
      <c r="E40" s="4">
        <v>10000</v>
      </c>
      <c r="F40" s="4"/>
      <c r="G40" s="4"/>
      <c r="H40" s="6">
        <v>0.04</v>
      </c>
    </row>
    <row r="41" spans="1:8" ht="15.75" thickBot="1">
      <c r="A41" s="64" t="s">
        <v>57</v>
      </c>
      <c r="B41" s="64"/>
      <c r="C41" s="64"/>
      <c r="D41" s="64"/>
      <c r="E41" s="64"/>
      <c r="F41" s="64"/>
      <c r="G41" s="64"/>
      <c r="H41" s="64"/>
    </row>
    <row r="42" spans="1:8" ht="34.5" thickBot="1">
      <c r="A42" s="1">
        <v>1</v>
      </c>
      <c r="B42" s="2" t="s">
        <v>58</v>
      </c>
      <c r="C42" s="1" t="s">
        <v>59</v>
      </c>
      <c r="D42" s="1">
        <v>100</v>
      </c>
      <c r="E42" s="1">
        <v>2000</v>
      </c>
      <c r="F42" s="1"/>
      <c r="G42" s="1"/>
      <c r="H42" s="3">
        <v>8.6699999999999999E-2</v>
      </c>
    </row>
    <row r="43" spans="1:8" ht="15.75" customHeight="1" thickBot="1">
      <c r="A43" s="66" t="s">
        <v>60</v>
      </c>
      <c r="B43" s="66"/>
      <c r="C43" s="66"/>
      <c r="D43" s="66"/>
      <c r="E43" s="66"/>
      <c r="F43" s="66"/>
      <c r="G43" s="66"/>
      <c r="H43" s="66"/>
    </row>
    <row r="44" spans="1:8" ht="34.5" thickBot="1">
      <c r="A44" s="1">
        <v>1</v>
      </c>
      <c r="B44" s="2" t="s">
        <v>61</v>
      </c>
      <c r="C44" s="1" t="s">
        <v>62</v>
      </c>
      <c r="D44" s="1">
        <v>1</v>
      </c>
      <c r="E44" s="1">
        <v>60</v>
      </c>
      <c r="F44" s="1"/>
      <c r="G44" s="1"/>
      <c r="H44" s="3">
        <v>2.2799999999999998</v>
      </c>
    </row>
    <row r="45" spans="1:8" ht="23.25" thickBot="1">
      <c r="A45" s="4">
        <v>2</v>
      </c>
      <c r="B45" s="5" t="s">
        <v>63</v>
      </c>
      <c r="C45" s="4" t="s">
        <v>62</v>
      </c>
      <c r="D45" s="4">
        <v>1</v>
      </c>
      <c r="E45" s="4">
        <v>50</v>
      </c>
      <c r="F45" s="4"/>
      <c r="G45" s="4"/>
      <c r="H45" s="6">
        <v>2.99</v>
      </c>
    </row>
    <row r="46" spans="1:8" ht="15.75" thickBot="1">
      <c r="A46" s="64" t="s">
        <v>64</v>
      </c>
      <c r="B46" s="64"/>
      <c r="C46" s="64"/>
      <c r="D46" s="64"/>
      <c r="E46" s="64"/>
      <c r="F46" s="64"/>
      <c r="G46" s="64"/>
      <c r="H46" s="64"/>
    </row>
    <row r="47" spans="1:8" ht="23.25" thickBot="1">
      <c r="A47" s="1">
        <v>1</v>
      </c>
      <c r="B47" s="2" t="s">
        <v>65</v>
      </c>
      <c r="C47" s="1" t="s">
        <v>66</v>
      </c>
      <c r="D47" s="1">
        <v>30</v>
      </c>
      <c r="E47" s="1">
        <v>1440</v>
      </c>
      <c r="F47" s="1"/>
      <c r="G47" s="1"/>
      <c r="H47" s="3">
        <v>5.26</v>
      </c>
    </row>
    <row r="48" spans="1:8" ht="15.75" thickBot="1">
      <c r="A48" s="4">
        <v>2</v>
      </c>
      <c r="B48" s="5" t="s">
        <v>67</v>
      </c>
      <c r="C48" s="4" t="s">
        <v>12</v>
      </c>
      <c r="D48" s="4">
        <v>30</v>
      </c>
      <c r="E48" s="4">
        <v>4000</v>
      </c>
      <c r="F48" s="4"/>
      <c r="G48" s="4"/>
      <c r="H48" s="6">
        <v>0.34</v>
      </c>
    </row>
    <row r="49" spans="1:8" ht="15.75" thickBot="1">
      <c r="A49" s="1">
        <v>3</v>
      </c>
      <c r="B49" s="2" t="s">
        <v>68</v>
      </c>
      <c r="C49" s="1" t="s">
        <v>12</v>
      </c>
      <c r="D49" s="1">
        <v>30</v>
      </c>
      <c r="E49" s="1">
        <v>500</v>
      </c>
      <c r="F49" s="1"/>
      <c r="G49" s="1"/>
      <c r="H49" s="3">
        <v>0.33</v>
      </c>
    </row>
    <row r="50" spans="1:8" ht="34.5" thickBot="1">
      <c r="A50" s="4">
        <v>4</v>
      </c>
      <c r="B50" s="5" t="s">
        <v>69</v>
      </c>
      <c r="C50" s="4" t="s">
        <v>44</v>
      </c>
      <c r="D50" s="4">
        <v>200</v>
      </c>
      <c r="E50" s="4">
        <v>200</v>
      </c>
      <c r="F50" s="4"/>
      <c r="G50" s="4"/>
      <c r="H50" s="6">
        <v>0.34</v>
      </c>
    </row>
    <row r="51" spans="1:8" ht="15.75" thickBot="1">
      <c r="A51" s="64" t="s">
        <v>70</v>
      </c>
      <c r="B51" s="64"/>
      <c r="C51" s="64"/>
      <c r="D51" s="64"/>
      <c r="E51" s="64"/>
      <c r="F51" s="64"/>
      <c r="G51" s="64"/>
      <c r="H51" s="64"/>
    </row>
    <row r="52" spans="1:8" ht="34.5" thickBot="1">
      <c r="A52" s="1">
        <v>1</v>
      </c>
      <c r="B52" s="2" t="s">
        <v>71</v>
      </c>
      <c r="C52" s="1" t="s">
        <v>6</v>
      </c>
      <c r="D52" s="1">
        <v>100</v>
      </c>
      <c r="E52" s="1">
        <v>800</v>
      </c>
      <c r="F52" s="1">
        <v>800</v>
      </c>
      <c r="G52" s="1"/>
      <c r="H52" s="3">
        <v>1.0620000000000001</v>
      </c>
    </row>
    <row r="53" spans="1:8" ht="34.5" thickBot="1">
      <c r="A53" s="4">
        <v>2</v>
      </c>
      <c r="B53" s="5" t="s">
        <v>72</v>
      </c>
      <c r="C53" s="4" t="s">
        <v>6</v>
      </c>
      <c r="D53" s="4">
        <v>50</v>
      </c>
      <c r="E53" s="4">
        <v>50</v>
      </c>
      <c r="F53" s="4"/>
      <c r="G53" s="4"/>
      <c r="H53" s="6">
        <v>1.8879999999999999</v>
      </c>
    </row>
    <row r="54" spans="1:8" ht="15.75" thickBot="1">
      <c r="A54" s="64" t="s">
        <v>73</v>
      </c>
      <c r="B54" s="64"/>
      <c r="C54" s="64"/>
      <c r="D54" s="64"/>
      <c r="E54" s="64"/>
      <c r="F54" s="64"/>
      <c r="G54" s="64"/>
      <c r="H54" s="64"/>
    </row>
    <row r="55" spans="1:8" ht="23.25" thickBot="1">
      <c r="A55" s="1">
        <v>1</v>
      </c>
      <c r="B55" s="2" t="s">
        <v>74</v>
      </c>
      <c r="C55" s="1" t="s">
        <v>75</v>
      </c>
      <c r="D55" s="1">
        <v>1</v>
      </c>
      <c r="E55" s="1">
        <v>90</v>
      </c>
      <c r="F55" s="18"/>
      <c r="G55" s="18"/>
      <c r="H55" s="3">
        <v>125.35</v>
      </c>
    </row>
    <row r="56" spans="1:8" ht="23.25" thickBot="1">
      <c r="A56" s="4">
        <v>2</v>
      </c>
      <c r="B56" s="5" t="s">
        <v>74</v>
      </c>
      <c r="C56" s="4" t="s">
        <v>76</v>
      </c>
      <c r="D56" s="4">
        <v>1</v>
      </c>
      <c r="E56" s="4">
        <v>90</v>
      </c>
      <c r="F56" s="20"/>
      <c r="G56" s="20"/>
      <c r="H56" s="6">
        <v>19.329999999999998</v>
      </c>
    </row>
    <row r="57" spans="1:8" ht="15.75" thickBot="1">
      <c r="A57" s="64" t="s">
        <v>77</v>
      </c>
      <c r="B57" s="64"/>
      <c r="C57" s="64"/>
      <c r="D57" s="64"/>
      <c r="E57" s="64"/>
      <c r="F57" s="64"/>
      <c r="G57" s="64"/>
      <c r="H57" s="64"/>
    </row>
    <row r="58" spans="1:8" ht="23.25" thickBot="1">
      <c r="A58" s="1">
        <v>1</v>
      </c>
      <c r="B58" s="2" t="s">
        <v>78</v>
      </c>
      <c r="C58" s="1" t="s">
        <v>46</v>
      </c>
      <c r="D58" s="1">
        <v>100</v>
      </c>
      <c r="E58" s="1">
        <v>400</v>
      </c>
      <c r="F58" s="1"/>
      <c r="G58" s="1"/>
      <c r="H58" s="3">
        <v>0.69</v>
      </c>
    </row>
    <row r="59" spans="1:8" ht="23.25" thickBot="1">
      <c r="A59" s="4">
        <v>2</v>
      </c>
      <c r="B59" s="5" t="s">
        <v>79</v>
      </c>
      <c r="C59" s="4" t="s">
        <v>6</v>
      </c>
      <c r="D59" s="4">
        <v>100</v>
      </c>
      <c r="E59" s="4">
        <v>600</v>
      </c>
      <c r="F59" s="4"/>
      <c r="G59" s="4"/>
      <c r="H59" s="6">
        <v>1.1000000000000001</v>
      </c>
    </row>
    <row r="60" spans="1:8" ht="34.5" thickBot="1">
      <c r="A60" s="1">
        <v>3</v>
      </c>
      <c r="B60" s="2" t="s">
        <v>80</v>
      </c>
      <c r="C60" s="1" t="s">
        <v>44</v>
      </c>
      <c r="D60" s="1">
        <v>200</v>
      </c>
      <c r="E60" s="1">
        <v>200</v>
      </c>
      <c r="F60" s="1"/>
      <c r="G60" s="1"/>
      <c r="H60" s="3">
        <v>0.17</v>
      </c>
    </row>
    <row r="61" spans="1:8" ht="34.5" thickBot="1">
      <c r="A61" s="4">
        <v>4</v>
      </c>
      <c r="B61" s="5" t="s">
        <v>81</v>
      </c>
      <c r="C61" s="4" t="s">
        <v>22</v>
      </c>
      <c r="D61" s="4">
        <v>100</v>
      </c>
      <c r="E61" s="4">
        <v>800</v>
      </c>
      <c r="F61" s="4"/>
      <c r="G61" s="4"/>
      <c r="H61" s="6">
        <v>0.68</v>
      </c>
    </row>
    <row r="62" spans="1:8" ht="34.5" thickBot="1">
      <c r="A62" s="1">
        <v>5</v>
      </c>
      <c r="B62" s="2" t="s">
        <v>82</v>
      </c>
      <c r="C62" s="1" t="s">
        <v>44</v>
      </c>
      <c r="D62" s="1">
        <v>200</v>
      </c>
      <c r="E62" s="1">
        <v>100</v>
      </c>
      <c r="F62" s="1"/>
      <c r="G62" s="1"/>
      <c r="H62" s="3">
        <v>1.75</v>
      </c>
    </row>
    <row r="63" spans="1:8" ht="34.5" thickBot="1">
      <c r="A63" s="4">
        <v>6</v>
      </c>
      <c r="B63" s="5" t="s">
        <v>83</v>
      </c>
      <c r="C63" s="4" t="s">
        <v>8</v>
      </c>
      <c r="D63" s="4">
        <v>100</v>
      </c>
      <c r="E63" s="4">
        <v>200</v>
      </c>
      <c r="F63" s="4"/>
      <c r="G63" s="4"/>
      <c r="H63" s="6">
        <v>0.83</v>
      </c>
    </row>
    <row r="64" spans="1:8" ht="15.75" thickBot="1">
      <c r="A64" s="1">
        <v>7</v>
      </c>
      <c r="B64" s="2" t="s">
        <v>84</v>
      </c>
      <c r="C64" s="1" t="s">
        <v>12</v>
      </c>
      <c r="D64" s="1">
        <v>30</v>
      </c>
      <c r="E64" s="1">
        <v>360</v>
      </c>
      <c r="F64" s="1"/>
      <c r="G64" s="1"/>
      <c r="H64" s="3">
        <v>0.17</v>
      </c>
    </row>
    <row r="65" spans="1:8" ht="34.5" thickBot="1">
      <c r="A65" s="4">
        <v>8</v>
      </c>
      <c r="B65" s="5" t="s">
        <v>85</v>
      </c>
      <c r="C65" s="4" t="s">
        <v>6</v>
      </c>
      <c r="D65" s="4">
        <v>5</v>
      </c>
      <c r="E65" s="4">
        <v>5</v>
      </c>
      <c r="F65" s="4"/>
      <c r="G65" s="4"/>
      <c r="H65" s="6">
        <v>15.9</v>
      </c>
    </row>
    <row r="66" spans="1:8" ht="23.25" thickBot="1">
      <c r="A66" s="1">
        <v>9</v>
      </c>
      <c r="B66" s="2" t="s">
        <v>86</v>
      </c>
      <c r="C66" s="1" t="s">
        <v>6</v>
      </c>
      <c r="D66" s="1">
        <v>50</v>
      </c>
      <c r="E66" s="1">
        <v>400</v>
      </c>
      <c r="F66" s="1"/>
      <c r="G66" s="1"/>
      <c r="H66" s="3">
        <v>0.88</v>
      </c>
    </row>
    <row r="67" spans="1:8" ht="23.25" thickBot="1">
      <c r="A67" s="4">
        <v>10</v>
      </c>
      <c r="B67" s="5" t="s">
        <v>87</v>
      </c>
      <c r="C67" s="4" t="s">
        <v>8</v>
      </c>
      <c r="D67" s="4">
        <v>50</v>
      </c>
      <c r="E67" s="4">
        <v>100</v>
      </c>
      <c r="F67" s="4"/>
      <c r="G67" s="4"/>
      <c r="H67" s="6">
        <v>1.9</v>
      </c>
    </row>
    <row r="68" spans="1:8" ht="23.25" thickBot="1">
      <c r="A68" s="1">
        <v>11</v>
      </c>
      <c r="B68" s="2" t="s">
        <v>88</v>
      </c>
      <c r="C68" s="1" t="s">
        <v>89</v>
      </c>
      <c r="D68" s="1">
        <v>25</v>
      </c>
      <c r="E68" s="1">
        <v>25</v>
      </c>
      <c r="F68" s="1"/>
      <c r="G68" s="1"/>
      <c r="H68" s="3">
        <v>3.8</v>
      </c>
    </row>
    <row r="69" spans="1:8" ht="15.75" customHeight="1" thickBot="1">
      <c r="A69" s="66" t="s">
        <v>90</v>
      </c>
      <c r="B69" s="66"/>
      <c r="C69" s="66"/>
      <c r="D69" s="66"/>
      <c r="E69" s="66"/>
      <c r="F69" s="66"/>
      <c r="G69" s="66"/>
      <c r="H69" s="66"/>
    </row>
    <row r="70" spans="1:8" ht="23.25" thickBot="1">
      <c r="A70" s="1">
        <v>1</v>
      </c>
      <c r="B70" s="2" t="s">
        <v>91</v>
      </c>
      <c r="C70" s="1" t="s">
        <v>10</v>
      </c>
      <c r="D70" s="1">
        <v>96</v>
      </c>
      <c r="E70" s="1">
        <v>200</v>
      </c>
      <c r="F70" s="1"/>
      <c r="G70" s="1"/>
      <c r="H70" s="3">
        <v>1.9399</v>
      </c>
    </row>
    <row r="71" spans="1:8" ht="15.75" thickBot="1">
      <c r="A71" s="4">
        <v>2</v>
      </c>
      <c r="B71" s="5" t="s">
        <v>92</v>
      </c>
      <c r="C71" s="4" t="s">
        <v>12</v>
      </c>
      <c r="D71" s="4">
        <v>500</v>
      </c>
      <c r="E71" s="4">
        <v>1700</v>
      </c>
      <c r="F71" s="4"/>
      <c r="G71" s="4"/>
      <c r="H71" s="6">
        <v>0.11</v>
      </c>
    </row>
    <row r="72" spans="1:8" ht="15.75" customHeight="1" thickBot="1">
      <c r="A72" s="66" t="s">
        <v>93</v>
      </c>
      <c r="B72" s="66"/>
      <c r="C72" s="66"/>
      <c r="D72" s="66"/>
      <c r="E72" s="66"/>
      <c r="F72" s="66"/>
      <c r="G72" s="66"/>
      <c r="H72" s="66"/>
    </row>
    <row r="73" spans="1:8" ht="23.25" thickBot="1">
      <c r="A73" s="1">
        <v>1</v>
      </c>
      <c r="B73" s="2" t="s">
        <v>94</v>
      </c>
      <c r="C73" s="1" t="s">
        <v>12</v>
      </c>
      <c r="D73" s="1">
        <v>20</v>
      </c>
      <c r="E73" s="1">
        <v>2000</v>
      </c>
      <c r="F73" s="1"/>
      <c r="G73" s="1"/>
      <c r="H73" s="3">
        <v>0.99990000000000001</v>
      </c>
    </row>
    <row r="74" spans="1:8" ht="34.5" thickBot="1">
      <c r="A74" s="4">
        <v>2</v>
      </c>
      <c r="B74" s="5" t="s">
        <v>95</v>
      </c>
      <c r="C74" s="4" t="s">
        <v>16</v>
      </c>
      <c r="D74" s="4">
        <v>20</v>
      </c>
      <c r="E74" s="4">
        <v>2500</v>
      </c>
      <c r="F74" s="4"/>
      <c r="G74" s="4"/>
      <c r="H74" s="6">
        <v>0.224</v>
      </c>
    </row>
    <row r="75" spans="1:8" ht="23.25" thickBot="1">
      <c r="A75" s="1">
        <v>3</v>
      </c>
      <c r="B75" s="2" t="s">
        <v>96</v>
      </c>
      <c r="C75" s="1" t="s">
        <v>12</v>
      </c>
      <c r="D75" s="1">
        <v>60</v>
      </c>
      <c r="E75" s="1">
        <v>3000</v>
      </c>
      <c r="F75" s="1"/>
      <c r="G75" s="1"/>
      <c r="H75" s="3">
        <v>0.21990000000000001</v>
      </c>
    </row>
    <row r="76" spans="1:8" ht="15.75" thickBot="1">
      <c r="A76" s="64" t="s">
        <v>97</v>
      </c>
      <c r="B76" s="64"/>
      <c r="C76" s="64"/>
      <c r="D76" s="64"/>
      <c r="E76" s="64"/>
      <c r="F76" s="64"/>
      <c r="G76" s="64"/>
      <c r="H76" s="64"/>
    </row>
    <row r="77" spans="1:8" ht="15.75" thickBot="1">
      <c r="A77" s="1">
        <v>1</v>
      </c>
      <c r="B77" s="2" t="s">
        <v>98</v>
      </c>
      <c r="C77" s="1" t="s">
        <v>12</v>
      </c>
      <c r="D77" s="1">
        <v>800</v>
      </c>
      <c r="E77" s="1">
        <v>3000</v>
      </c>
      <c r="F77" s="18"/>
      <c r="G77" s="18"/>
      <c r="H77" s="3">
        <v>0.127</v>
      </c>
    </row>
    <row r="78" spans="1:8" ht="34.5" thickBot="1">
      <c r="A78" s="4">
        <v>2</v>
      </c>
      <c r="B78" s="5" t="s">
        <v>99</v>
      </c>
      <c r="C78" s="4" t="s">
        <v>62</v>
      </c>
      <c r="D78" s="4">
        <v>60</v>
      </c>
      <c r="E78" s="4">
        <v>50</v>
      </c>
      <c r="F78" s="4"/>
      <c r="G78" s="4"/>
      <c r="H78" s="6">
        <v>2.31</v>
      </c>
    </row>
    <row r="79" spans="1:8" ht="23.25" thickBot="1">
      <c r="A79" s="1">
        <v>3</v>
      </c>
      <c r="B79" s="2" t="s">
        <v>100</v>
      </c>
      <c r="C79" s="1" t="s">
        <v>44</v>
      </c>
      <c r="D79" s="1">
        <v>200</v>
      </c>
      <c r="E79" s="1">
        <v>1000</v>
      </c>
      <c r="F79" s="1"/>
      <c r="G79" s="1"/>
      <c r="H79" s="3">
        <v>0.45850000000000002</v>
      </c>
    </row>
    <row r="80" spans="1:8" ht="34.5" thickBot="1">
      <c r="A80" s="4">
        <v>4</v>
      </c>
      <c r="B80" s="5" t="s">
        <v>101</v>
      </c>
      <c r="C80" s="4" t="s">
        <v>102</v>
      </c>
      <c r="D80" s="4">
        <v>1</v>
      </c>
      <c r="E80" s="4">
        <v>50</v>
      </c>
      <c r="F80" s="4"/>
      <c r="G80" s="4"/>
      <c r="H80" s="6">
        <v>3.9462000000000002</v>
      </c>
    </row>
    <row r="81" spans="1:8" ht="23.25" thickBot="1">
      <c r="A81" s="1">
        <v>5</v>
      </c>
      <c r="B81" s="2" t="s">
        <v>103</v>
      </c>
      <c r="C81" s="1" t="s">
        <v>16</v>
      </c>
      <c r="D81" s="1">
        <v>300</v>
      </c>
      <c r="E81" s="1">
        <v>8000</v>
      </c>
      <c r="F81" s="1"/>
      <c r="G81" s="1"/>
      <c r="H81" s="3">
        <v>7.1199999999999999E-2</v>
      </c>
    </row>
    <row r="82" spans="1:8" ht="23.25" thickBot="1">
      <c r="A82" s="4">
        <v>6</v>
      </c>
      <c r="B82" s="5" t="s">
        <v>104</v>
      </c>
      <c r="C82" s="4" t="s">
        <v>16</v>
      </c>
      <c r="D82" s="4">
        <v>30</v>
      </c>
      <c r="E82" s="4">
        <v>720</v>
      </c>
      <c r="F82" s="4"/>
      <c r="G82" s="4"/>
      <c r="H82" s="6">
        <v>0.28770000000000001</v>
      </c>
    </row>
    <row r="83" spans="1:8" ht="15.75" thickBot="1">
      <c r="A83" s="64" t="s">
        <v>105</v>
      </c>
      <c r="B83" s="64"/>
      <c r="C83" s="64"/>
      <c r="D83" s="64"/>
      <c r="E83" s="64"/>
      <c r="F83" s="64"/>
      <c r="G83" s="64"/>
      <c r="H83" s="64"/>
    </row>
    <row r="84" spans="1:8" ht="23.25" thickBot="1">
      <c r="A84" s="1">
        <v>1</v>
      </c>
      <c r="B84" s="2" t="s">
        <v>106</v>
      </c>
      <c r="C84" s="1" t="s">
        <v>16</v>
      </c>
      <c r="D84" s="1">
        <v>300</v>
      </c>
      <c r="E84" s="1">
        <v>7000</v>
      </c>
      <c r="F84" s="1">
        <v>6900</v>
      </c>
      <c r="G84" s="1"/>
      <c r="H84" s="3">
        <v>0.1205</v>
      </c>
    </row>
    <row r="85" spans="1:8" ht="15.75" thickBot="1">
      <c r="A85" s="64" t="s">
        <v>107</v>
      </c>
      <c r="B85" s="64"/>
      <c r="C85" s="64"/>
      <c r="D85" s="64"/>
      <c r="E85" s="64"/>
      <c r="F85" s="64"/>
      <c r="G85" s="64"/>
      <c r="H85" s="64"/>
    </row>
    <row r="86" spans="1:8" ht="23.25" thickBot="1">
      <c r="A86" s="1">
        <v>1</v>
      </c>
      <c r="B86" s="2" t="s">
        <v>108</v>
      </c>
      <c r="C86" s="1" t="s">
        <v>44</v>
      </c>
      <c r="D86" s="1">
        <v>100</v>
      </c>
      <c r="E86" s="1">
        <v>100</v>
      </c>
      <c r="F86" s="1"/>
      <c r="G86" s="1"/>
      <c r="H86" s="62">
        <v>1.7857000000000001</v>
      </c>
    </row>
    <row r="87" spans="1:8" ht="45.75" thickBot="1">
      <c r="A87" s="4">
        <v>2</v>
      </c>
      <c r="B87" s="5" t="s">
        <v>109</v>
      </c>
      <c r="C87" s="4" t="s">
        <v>46</v>
      </c>
      <c r="D87" s="4">
        <v>100</v>
      </c>
      <c r="E87" s="4">
        <v>800</v>
      </c>
      <c r="F87" s="4"/>
      <c r="G87" s="4"/>
      <c r="H87" s="6">
        <v>1.3117000000000001</v>
      </c>
    </row>
    <row r="88" spans="1:8" ht="15.75" thickBot="1">
      <c r="A88" s="64" t="s">
        <v>110</v>
      </c>
      <c r="B88" s="64"/>
      <c r="C88" s="64"/>
      <c r="D88" s="64"/>
      <c r="E88" s="64"/>
      <c r="F88" s="64"/>
      <c r="G88" s="64"/>
      <c r="H88" s="64"/>
    </row>
    <row r="89" spans="1:8" ht="15.75" thickBot="1">
      <c r="A89" s="1">
        <v>1</v>
      </c>
      <c r="B89" s="2" t="s">
        <v>111</v>
      </c>
      <c r="C89" s="1" t="s">
        <v>12</v>
      </c>
      <c r="D89" s="1">
        <v>12</v>
      </c>
      <c r="E89" s="1">
        <v>3000</v>
      </c>
      <c r="F89" s="1"/>
      <c r="G89" s="1"/>
      <c r="H89" s="3">
        <v>5.4699999999999999E-2</v>
      </c>
    </row>
    <row r="90" spans="1:8" ht="15.75" thickBot="1">
      <c r="A90" s="64" t="s">
        <v>112</v>
      </c>
      <c r="B90" s="64"/>
      <c r="C90" s="64"/>
      <c r="D90" s="64"/>
      <c r="E90" s="64"/>
      <c r="F90" s="64"/>
      <c r="G90" s="64"/>
      <c r="H90" s="64"/>
    </row>
    <row r="91" spans="1:8" ht="45.75" thickBot="1">
      <c r="A91" s="1">
        <v>1</v>
      </c>
      <c r="B91" s="2" t="s">
        <v>113</v>
      </c>
      <c r="C91" s="1" t="s">
        <v>114</v>
      </c>
      <c r="D91" s="1">
        <v>10</v>
      </c>
      <c r="E91" s="1">
        <v>30</v>
      </c>
      <c r="F91" s="1"/>
      <c r="G91" s="1"/>
      <c r="H91" s="3">
        <v>12.03</v>
      </c>
    </row>
    <row r="92" spans="1:8" ht="23.25" thickBot="1">
      <c r="A92" s="4">
        <v>2</v>
      </c>
      <c r="B92" s="5" t="s">
        <v>115</v>
      </c>
      <c r="C92" s="4" t="s">
        <v>116</v>
      </c>
      <c r="D92" s="4">
        <v>50</v>
      </c>
      <c r="E92" s="4">
        <v>250</v>
      </c>
      <c r="F92" s="4"/>
      <c r="G92" s="4"/>
      <c r="H92" s="6">
        <v>5.8</v>
      </c>
    </row>
    <row r="93" spans="1:8" ht="15.75" thickBot="1">
      <c r="A93" s="64" t="s">
        <v>117</v>
      </c>
      <c r="B93" s="64"/>
      <c r="C93" s="64"/>
      <c r="D93" s="64"/>
      <c r="E93" s="64"/>
      <c r="F93" s="64"/>
      <c r="G93" s="64"/>
      <c r="H93" s="64"/>
    </row>
    <row r="94" spans="1:8" ht="34.5" thickBot="1">
      <c r="A94" s="1">
        <v>1</v>
      </c>
      <c r="B94" s="2" t="s">
        <v>118</v>
      </c>
      <c r="C94" s="1" t="s">
        <v>119</v>
      </c>
      <c r="D94" s="1">
        <v>1</v>
      </c>
      <c r="E94" s="1">
        <v>400</v>
      </c>
      <c r="F94" s="1"/>
      <c r="G94" s="1"/>
      <c r="H94" s="3">
        <v>1.99</v>
      </c>
    </row>
    <row r="95" spans="1:8" ht="15.75" thickBot="1">
      <c r="A95" s="64" t="s">
        <v>120</v>
      </c>
      <c r="B95" s="64"/>
      <c r="C95" s="64"/>
      <c r="D95" s="64"/>
      <c r="E95" s="64"/>
      <c r="F95" s="64"/>
      <c r="G95" s="64"/>
      <c r="H95" s="64"/>
    </row>
    <row r="96" spans="1:8" ht="23.25" thickBot="1">
      <c r="A96" s="1">
        <v>1</v>
      </c>
      <c r="B96" s="2" t="s">
        <v>121</v>
      </c>
      <c r="C96" s="1" t="s">
        <v>66</v>
      </c>
      <c r="D96" s="1">
        <v>30</v>
      </c>
      <c r="E96" s="1">
        <v>6000</v>
      </c>
      <c r="F96" s="1"/>
      <c r="G96" s="1"/>
      <c r="H96" s="3">
        <v>0.15</v>
      </c>
    </row>
    <row r="97" spans="1:8" ht="15.75" thickBot="1">
      <c r="A97" s="64" t="s">
        <v>122</v>
      </c>
      <c r="B97" s="64"/>
      <c r="C97" s="64"/>
      <c r="D97" s="64"/>
      <c r="E97" s="64"/>
      <c r="F97" s="64"/>
      <c r="G97" s="64"/>
      <c r="H97" s="64"/>
    </row>
    <row r="98" spans="1:8" ht="34.5" thickBot="1">
      <c r="A98" s="1">
        <v>1</v>
      </c>
      <c r="B98" s="2" t="s">
        <v>123</v>
      </c>
      <c r="C98" s="1" t="s">
        <v>16</v>
      </c>
      <c r="D98" s="1">
        <v>50</v>
      </c>
      <c r="E98" s="1">
        <v>1440</v>
      </c>
      <c r="F98" s="1"/>
      <c r="G98" s="1"/>
      <c r="H98" s="3">
        <v>1.81</v>
      </c>
    </row>
    <row r="99" spans="1:8" ht="15.75" thickBot="1">
      <c r="A99" s="64" t="s">
        <v>124</v>
      </c>
      <c r="B99" s="64"/>
      <c r="C99" s="64"/>
      <c r="D99" s="64"/>
      <c r="E99" s="64"/>
      <c r="F99" s="64"/>
      <c r="G99" s="64"/>
      <c r="H99" s="64"/>
    </row>
    <row r="100" spans="1:8" ht="57" thickBot="1">
      <c r="A100" s="1">
        <v>1</v>
      </c>
      <c r="B100" s="2" t="s">
        <v>125</v>
      </c>
      <c r="C100" s="1" t="s">
        <v>126</v>
      </c>
      <c r="D100" s="1">
        <v>3</v>
      </c>
      <c r="E100" s="1">
        <v>300</v>
      </c>
      <c r="F100" s="1"/>
      <c r="G100" s="1"/>
      <c r="H100" s="3">
        <v>6.41</v>
      </c>
    </row>
  </sheetData>
  <mergeCells count="24">
    <mergeCell ref="A83:H83"/>
    <mergeCell ref="A85:H85"/>
    <mergeCell ref="A88:H88"/>
    <mergeCell ref="A54:H54"/>
    <mergeCell ref="A57:H57"/>
    <mergeCell ref="A69:H69"/>
    <mergeCell ref="A72:H72"/>
    <mergeCell ref="A76:H76"/>
    <mergeCell ref="A93:H93"/>
    <mergeCell ref="A95:H95"/>
    <mergeCell ref="A97:H97"/>
    <mergeCell ref="A99:H99"/>
    <mergeCell ref="A2:H2"/>
    <mergeCell ref="A10:H10"/>
    <mergeCell ref="A19:H19"/>
    <mergeCell ref="A25:H25"/>
    <mergeCell ref="A90:H90"/>
    <mergeCell ref="A33:H33"/>
    <mergeCell ref="A36:H36"/>
    <mergeCell ref="A38:H38"/>
    <mergeCell ref="A41:H41"/>
    <mergeCell ref="A43:H43"/>
    <mergeCell ref="A46:H46"/>
    <mergeCell ref="A51:H51"/>
  </mergeCells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1"/>
  <sheetViews>
    <sheetView topLeftCell="A116" workbookViewId="0">
      <selection activeCell="L125" sqref="L125"/>
    </sheetView>
  </sheetViews>
  <sheetFormatPr defaultRowHeight="15"/>
  <cols>
    <col min="1" max="1" width="54.42578125" customWidth="1"/>
    <col min="6" max="6" width="9.140625" style="55"/>
  </cols>
  <sheetData>
    <row r="1" spans="1:11">
      <c r="A1" t="s">
        <v>134</v>
      </c>
      <c r="E1" s="21"/>
      <c r="F1" s="21"/>
    </row>
    <row r="2" spans="1:11">
      <c r="A2" t="s">
        <v>135</v>
      </c>
      <c r="D2" t="s">
        <v>136</v>
      </c>
      <c r="E2" s="21" t="s">
        <v>137</v>
      </c>
      <c r="F2" s="21"/>
      <c r="G2" t="s">
        <v>138</v>
      </c>
      <c r="H2" t="s">
        <v>139</v>
      </c>
      <c r="I2" s="22">
        <v>46073</v>
      </c>
    </row>
    <row r="3" spans="1:11">
      <c r="A3" t="s">
        <v>140</v>
      </c>
      <c r="D3" t="s">
        <v>141</v>
      </c>
      <c r="E3" s="21"/>
      <c r="F3" s="21"/>
    </row>
    <row r="4" spans="1:11">
      <c r="A4" t="s">
        <v>142</v>
      </c>
      <c r="D4" t="s">
        <v>143</v>
      </c>
      <c r="E4" s="21"/>
      <c r="F4" s="21"/>
    </row>
    <row r="5" spans="1:11">
      <c r="A5" t="s">
        <v>144</v>
      </c>
      <c r="E5" s="21" t="s">
        <v>145</v>
      </c>
      <c r="F5" s="21"/>
      <c r="G5" t="s">
        <v>146</v>
      </c>
    </row>
    <row r="6" spans="1:11">
      <c r="A6" t="s">
        <v>147</v>
      </c>
      <c r="E6" s="21"/>
      <c r="F6" s="21"/>
    </row>
    <row r="7" spans="1:11">
      <c r="A7" t="s">
        <v>127</v>
      </c>
      <c r="B7" t="s">
        <v>128</v>
      </c>
      <c r="C7" t="s">
        <v>129</v>
      </c>
      <c r="D7" t="s">
        <v>130</v>
      </c>
      <c r="E7" s="21"/>
      <c r="F7" s="21"/>
      <c r="G7" t="s">
        <v>132</v>
      </c>
      <c r="H7" t="s">
        <v>133</v>
      </c>
    </row>
    <row r="8" spans="1:11">
      <c r="E8" s="21"/>
      <c r="F8" s="21"/>
    </row>
    <row r="9" spans="1:11">
      <c r="E9" s="21"/>
      <c r="F9" s="21"/>
    </row>
    <row r="10" spans="1:11">
      <c r="A10" t="s">
        <v>148</v>
      </c>
      <c r="B10" s="15">
        <v>1000</v>
      </c>
      <c r="C10" s="15">
        <v>1000</v>
      </c>
      <c r="D10">
        <v>1000</v>
      </c>
      <c r="E10" s="23"/>
      <c r="F10" s="23"/>
      <c r="G10">
        <v>4</v>
      </c>
      <c r="H10">
        <v>0.18</v>
      </c>
    </row>
    <row r="11" spans="1:11">
      <c r="A11" t="s">
        <v>149</v>
      </c>
      <c r="B11" s="15">
        <v>2000</v>
      </c>
      <c r="C11" s="15">
        <v>2000</v>
      </c>
      <c r="D11">
        <v>2000</v>
      </c>
      <c r="E11" s="23"/>
      <c r="F11" s="23"/>
      <c r="G11">
        <v>500</v>
      </c>
      <c r="H11">
        <v>0.31559999999999999</v>
      </c>
      <c r="K11" s="55"/>
    </row>
    <row r="12" spans="1:11">
      <c r="A12" t="s">
        <v>150</v>
      </c>
      <c r="B12">
        <v>100</v>
      </c>
      <c r="C12">
        <v>100</v>
      </c>
      <c r="D12">
        <v>100</v>
      </c>
      <c r="E12" s="23"/>
      <c r="F12" s="23"/>
      <c r="G12">
        <v>100</v>
      </c>
      <c r="H12">
        <v>2.7044999999999999</v>
      </c>
      <c r="K12" s="55"/>
    </row>
    <row r="13" spans="1:11">
      <c r="A13" t="s">
        <v>151</v>
      </c>
      <c r="B13" s="15">
        <v>20000</v>
      </c>
      <c r="C13" s="15">
        <v>20000</v>
      </c>
      <c r="D13">
        <v>20000</v>
      </c>
      <c r="E13" s="23"/>
      <c r="F13" s="23"/>
      <c r="G13">
        <v>200</v>
      </c>
      <c r="H13">
        <v>3.4799999999999998E-2</v>
      </c>
      <c r="K13" s="55"/>
    </row>
    <row r="14" spans="1:11">
      <c r="A14" t="s">
        <v>152</v>
      </c>
      <c r="B14">
        <v>0</v>
      </c>
      <c r="C14">
        <v>0</v>
      </c>
      <c r="D14">
        <v>0</v>
      </c>
      <c r="E14" s="24"/>
      <c r="F14" s="24"/>
      <c r="G14">
        <v>30</v>
      </c>
      <c r="H14">
        <v>0.19889999999999999</v>
      </c>
      <c r="K14" s="55"/>
    </row>
    <row r="15" spans="1:11">
      <c r="A15" t="s">
        <v>153</v>
      </c>
      <c r="B15">
        <v>400</v>
      </c>
      <c r="C15">
        <v>400</v>
      </c>
      <c r="D15">
        <v>400</v>
      </c>
      <c r="E15" s="23"/>
      <c r="F15" s="23"/>
      <c r="G15">
        <v>50</v>
      </c>
      <c r="H15">
        <v>2.6135999999999999</v>
      </c>
      <c r="K15" s="55"/>
    </row>
    <row r="16" spans="1:11">
      <c r="A16" t="s">
        <v>154</v>
      </c>
      <c r="B16" s="15">
        <v>5000</v>
      </c>
      <c r="C16" s="15">
        <v>5000</v>
      </c>
      <c r="D16">
        <v>5000</v>
      </c>
      <c r="E16" s="23"/>
      <c r="F16" s="23"/>
      <c r="G16">
        <v>500</v>
      </c>
      <c r="H16">
        <v>0.18160000000000001</v>
      </c>
      <c r="K16" s="55"/>
    </row>
    <row r="17" spans="1:11">
      <c r="A17" t="s">
        <v>155</v>
      </c>
      <c r="B17">
        <v>200</v>
      </c>
      <c r="C17">
        <v>200</v>
      </c>
      <c r="D17">
        <v>200</v>
      </c>
      <c r="E17" s="23"/>
      <c r="F17" s="23"/>
      <c r="G17">
        <v>1</v>
      </c>
      <c r="H17">
        <v>8.6818000000000008</v>
      </c>
      <c r="K17" s="55"/>
    </row>
    <row r="18" spans="1:11">
      <c r="A18" t="s">
        <v>156</v>
      </c>
      <c r="B18" s="15">
        <v>3000</v>
      </c>
      <c r="C18" s="15">
        <v>3000</v>
      </c>
      <c r="D18">
        <v>3000</v>
      </c>
      <c r="E18" s="23"/>
      <c r="F18" s="23"/>
      <c r="G18">
        <v>18</v>
      </c>
      <c r="H18">
        <v>0.69320000000000004</v>
      </c>
      <c r="K18" s="55"/>
    </row>
    <row r="19" spans="1:11">
      <c r="A19" t="s">
        <v>157</v>
      </c>
      <c r="B19">
        <v>0</v>
      </c>
      <c r="C19">
        <v>0</v>
      </c>
      <c r="D19">
        <v>0</v>
      </c>
      <c r="E19" s="23"/>
      <c r="F19" s="23"/>
      <c r="G19">
        <v>30</v>
      </c>
      <c r="H19">
        <v>3.78E-2</v>
      </c>
      <c r="K19" s="55"/>
    </row>
    <row r="20" spans="1:11">
      <c r="A20" t="s">
        <v>158</v>
      </c>
      <c r="B20" s="15">
        <v>35000</v>
      </c>
      <c r="C20" s="15">
        <v>35000</v>
      </c>
      <c r="D20">
        <v>35000</v>
      </c>
      <c r="E20" s="23"/>
      <c r="F20" s="23"/>
      <c r="G20">
        <v>500</v>
      </c>
      <c r="H20">
        <v>2.3900000000000001E-2</v>
      </c>
      <c r="K20" s="55"/>
    </row>
    <row r="21" spans="1:11">
      <c r="A21" t="s">
        <v>159</v>
      </c>
      <c r="B21">
        <v>0</v>
      </c>
      <c r="C21">
        <v>0</v>
      </c>
      <c r="D21">
        <v>0</v>
      </c>
      <c r="E21" s="23"/>
      <c r="F21" s="23"/>
      <c r="G21">
        <v>600</v>
      </c>
      <c r="H21">
        <v>0.1193</v>
      </c>
      <c r="K21" s="55"/>
    </row>
    <row r="22" spans="1:11">
      <c r="A22" t="s">
        <v>160</v>
      </c>
      <c r="B22" s="15">
        <v>18000</v>
      </c>
      <c r="C22" s="15">
        <v>18000</v>
      </c>
      <c r="D22">
        <v>18000</v>
      </c>
      <c r="E22" s="23"/>
      <c r="F22" s="23"/>
      <c r="G22">
        <v>60</v>
      </c>
      <c r="H22">
        <v>3.5499999999999997E-2</v>
      </c>
      <c r="K22" s="55"/>
    </row>
    <row r="23" spans="1:11">
      <c r="A23" t="s">
        <v>161</v>
      </c>
      <c r="B23">
        <v>400</v>
      </c>
      <c r="C23">
        <v>400</v>
      </c>
      <c r="D23">
        <v>400</v>
      </c>
      <c r="E23" s="23"/>
      <c r="F23" s="23"/>
      <c r="G23">
        <v>50</v>
      </c>
      <c r="H23">
        <v>5.5243000000000002</v>
      </c>
      <c r="K23" s="55"/>
    </row>
    <row r="24" spans="1:11">
      <c r="A24" t="s">
        <v>162</v>
      </c>
      <c r="B24" s="15">
        <v>2000</v>
      </c>
      <c r="C24" s="15">
        <v>2000</v>
      </c>
      <c r="D24">
        <v>2000</v>
      </c>
      <c r="E24" s="23"/>
      <c r="F24" s="23"/>
      <c r="G24">
        <v>500</v>
      </c>
      <c r="H24">
        <v>0.64080000000000004</v>
      </c>
      <c r="K24" s="55"/>
    </row>
    <row r="25" spans="1:11">
      <c r="A25" t="s">
        <v>163</v>
      </c>
      <c r="B25" s="15">
        <v>20000</v>
      </c>
      <c r="C25" s="15">
        <v>20000</v>
      </c>
      <c r="D25">
        <v>20000</v>
      </c>
      <c r="E25" s="23"/>
      <c r="F25" s="23"/>
      <c r="G25">
        <v>200</v>
      </c>
      <c r="H25">
        <v>0.2465</v>
      </c>
      <c r="K25" s="55"/>
    </row>
    <row r="26" spans="1:11">
      <c r="A26" t="s">
        <v>164</v>
      </c>
      <c r="B26">
        <v>100</v>
      </c>
      <c r="C26">
        <v>100</v>
      </c>
      <c r="D26">
        <v>100</v>
      </c>
      <c r="E26" s="23"/>
      <c r="F26" s="23"/>
      <c r="G26">
        <v>25</v>
      </c>
      <c r="H26">
        <v>2.5366</v>
      </c>
      <c r="K26" s="55"/>
    </row>
    <row r="27" spans="1:11">
      <c r="A27" t="s">
        <v>165</v>
      </c>
      <c r="B27" s="15">
        <v>30000</v>
      </c>
      <c r="C27" s="15">
        <v>30000</v>
      </c>
      <c r="D27">
        <v>30000</v>
      </c>
      <c r="E27" s="23"/>
      <c r="F27" s="23"/>
      <c r="G27">
        <v>500</v>
      </c>
      <c r="H27">
        <v>2.4899999999999999E-2</v>
      </c>
      <c r="K27" s="55"/>
    </row>
    <row r="28" spans="1:11">
      <c r="A28" t="s">
        <v>166</v>
      </c>
      <c r="B28">
        <v>200</v>
      </c>
      <c r="C28">
        <v>200</v>
      </c>
      <c r="D28">
        <v>200</v>
      </c>
      <c r="E28" s="23"/>
      <c r="F28" s="23"/>
      <c r="G28">
        <v>1</v>
      </c>
      <c r="H28">
        <v>5.6477000000000004</v>
      </c>
      <c r="K28" s="55"/>
    </row>
    <row r="29" spans="1:11">
      <c r="A29" t="s">
        <v>167</v>
      </c>
      <c r="B29" s="15">
        <v>40000</v>
      </c>
      <c r="C29" s="15">
        <v>40000</v>
      </c>
      <c r="D29">
        <v>40000</v>
      </c>
      <c r="E29" s="23"/>
      <c r="F29" s="23"/>
      <c r="G29">
        <v>500</v>
      </c>
      <c r="H29">
        <v>0.15010000000000001</v>
      </c>
      <c r="K29" s="55"/>
    </row>
    <row r="30" spans="1:11">
      <c r="A30" t="s">
        <v>168</v>
      </c>
      <c r="B30">
        <v>0</v>
      </c>
      <c r="C30">
        <v>0</v>
      </c>
      <c r="D30">
        <v>0</v>
      </c>
      <c r="E30" s="23"/>
      <c r="F30" s="23"/>
      <c r="G30">
        <v>200</v>
      </c>
      <c r="H30">
        <v>0.30430000000000001</v>
      </c>
      <c r="K30" s="55"/>
    </row>
    <row r="31" spans="1:11">
      <c r="A31" t="s">
        <v>169</v>
      </c>
      <c r="B31" s="15">
        <v>16000</v>
      </c>
      <c r="C31" s="15">
        <v>16000</v>
      </c>
      <c r="D31">
        <v>16000</v>
      </c>
      <c r="E31" s="23"/>
      <c r="F31" s="23"/>
      <c r="G31">
        <v>30</v>
      </c>
      <c r="H31">
        <v>6.7000000000000004E-2</v>
      </c>
      <c r="K31" s="55"/>
    </row>
    <row r="32" spans="1:11">
      <c r="A32" t="s">
        <v>170</v>
      </c>
      <c r="B32" s="15">
        <v>9100</v>
      </c>
      <c r="C32" s="15">
        <v>9100</v>
      </c>
      <c r="D32">
        <v>9100</v>
      </c>
      <c r="E32" s="23"/>
      <c r="F32" s="23"/>
      <c r="G32">
        <v>30</v>
      </c>
      <c r="H32">
        <v>9.8000000000000004E-2</v>
      </c>
      <c r="K32" s="55"/>
    </row>
    <row r="33" spans="1:11">
      <c r="A33" t="s">
        <v>171</v>
      </c>
      <c r="B33" s="15">
        <v>10000</v>
      </c>
      <c r="C33" s="15">
        <v>10000</v>
      </c>
      <c r="D33">
        <v>10000</v>
      </c>
      <c r="E33" s="21"/>
      <c r="F33" s="21"/>
      <c r="G33">
        <v>30</v>
      </c>
      <c r="H33">
        <v>6.59E-2</v>
      </c>
      <c r="K33" s="55"/>
    </row>
    <row r="34" spans="1:11">
      <c r="A34" t="s">
        <v>172</v>
      </c>
      <c r="B34" s="15">
        <v>10000</v>
      </c>
      <c r="C34" s="15">
        <v>10000</v>
      </c>
      <c r="D34">
        <v>10000</v>
      </c>
      <c r="E34" s="23"/>
      <c r="F34" s="23"/>
      <c r="G34">
        <v>30</v>
      </c>
      <c r="H34">
        <v>5.91E-2</v>
      </c>
      <c r="K34" s="55"/>
    </row>
    <row r="35" spans="1:11">
      <c r="A35" t="s">
        <v>173</v>
      </c>
      <c r="B35">
        <v>100</v>
      </c>
      <c r="C35">
        <v>100</v>
      </c>
      <c r="D35">
        <v>100</v>
      </c>
      <c r="E35" s="23"/>
      <c r="F35" s="23"/>
      <c r="G35">
        <v>50</v>
      </c>
      <c r="H35">
        <v>5.6022999999999996</v>
      </c>
      <c r="K35" s="55"/>
    </row>
    <row r="36" spans="1:11">
      <c r="A36" t="s">
        <v>174</v>
      </c>
      <c r="B36" s="15">
        <v>4000</v>
      </c>
      <c r="C36" s="15">
        <v>4000</v>
      </c>
      <c r="D36">
        <v>4000</v>
      </c>
      <c r="E36" s="23"/>
      <c r="F36" s="23"/>
      <c r="G36">
        <v>200</v>
      </c>
      <c r="H36">
        <v>0.57499999999999996</v>
      </c>
      <c r="K36" s="55"/>
    </row>
    <row r="37" spans="1:11">
      <c r="A37" t="s">
        <v>175</v>
      </c>
      <c r="B37">
        <v>300</v>
      </c>
      <c r="C37">
        <v>300</v>
      </c>
      <c r="D37">
        <v>300</v>
      </c>
      <c r="E37" s="23"/>
      <c r="F37" s="23"/>
      <c r="G37">
        <v>50</v>
      </c>
      <c r="H37">
        <v>3.7250000000000001</v>
      </c>
      <c r="K37" s="55"/>
    </row>
    <row r="38" spans="1:11">
      <c r="A38" t="s">
        <v>176</v>
      </c>
      <c r="B38" s="15">
        <v>1000</v>
      </c>
      <c r="C38" s="15">
        <v>1000</v>
      </c>
      <c r="D38">
        <v>1000</v>
      </c>
      <c r="E38" s="23"/>
      <c r="F38" s="23"/>
      <c r="G38">
        <v>300</v>
      </c>
      <c r="H38">
        <v>0.14000000000000001</v>
      </c>
      <c r="K38" s="55"/>
    </row>
    <row r="39" spans="1:11">
      <c r="A39" t="s">
        <v>177</v>
      </c>
      <c r="B39">
        <v>0</v>
      </c>
      <c r="C39">
        <v>0</v>
      </c>
      <c r="D39">
        <v>0</v>
      </c>
      <c r="E39" s="23"/>
      <c r="F39" s="23"/>
      <c r="G39">
        <v>1</v>
      </c>
      <c r="H39">
        <v>44.193100000000001</v>
      </c>
      <c r="K39" s="55"/>
    </row>
    <row r="40" spans="1:11">
      <c r="A40" t="s">
        <v>178</v>
      </c>
      <c r="B40" s="15">
        <v>1000</v>
      </c>
      <c r="C40" s="15">
        <v>1000</v>
      </c>
      <c r="D40">
        <v>1000</v>
      </c>
      <c r="E40" s="23"/>
      <c r="F40" s="23"/>
      <c r="G40">
        <v>490</v>
      </c>
      <c r="H40">
        <v>1.2689999999999999</v>
      </c>
      <c r="K40" s="55"/>
    </row>
    <row r="41" spans="1:11">
      <c r="A41" t="s">
        <v>179</v>
      </c>
      <c r="B41">
        <v>0</v>
      </c>
      <c r="C41">
        <v>0</v>
      </c>
      <c r="D41">
        <v>0</v>
      </c>
      <c r="E41" s="23"/>
      <c r="F41" s="23"/>
      <c r="G41">
        <v>16</v>
      </c>
      <c r="H41">
        <v>0.89</v>
      </c>
      <c r="K41" s="55"/>
    </row>
    <row r="42" spans="1:11">
      <c r="A42" t="s">
        <v>180</v>
      </c>
      <c r="B42">
        <v>0</v>
      </c>
      <c r="C42">
        <v>0</v>
      </c>
      <c r="D42">
        <v>0</v>
      </c>
      <c r="E42" s="23"/>
      <c r="F42" s="23"/>
      <c r="G42">
        <v>30</v>
      </c>
      <c r="H42">
        <v>0.54510000000000003</v>
      </c>
      <c r="K42" s="55"/>
    </row>
    <row r="43" spans="1:11">
      <c r="A43" t="s">
        <v>181</v>
      </c>
      <c r="B43" s="15">
        <v>5000</v>
      </c>
      <c r="C43" s="15">
        <v>5000</v>
      </c>
      <c r="D43">
        <v>5000</v>
      </c>
      <c r="E43" s="23"/>
      <c r="F43" s="23"/>
      <c r="G43">
        <v>20</v>
      </c>
      <c r="H43">
        <v>0.88290000000000002</v>
      </c>
      <c r="K43" s="55"/>
    </row>
    <row r="44" spans="1:11">
      <c r="A44" t="s">
        <v>182</v>
      </c>
      <c r="B44">
        <v>400</v>
      </c>
      <c r="C44">
        <v>400</v>
      </c>
      <c r="D44">
        <v>400</v>
      </c>
      <c r="E44" s="23"/>
      <c r="F44" s="23"/>
      <c r="G44">
        <v>50</v>
      </c>
      <c r="H44">
        <v>1.8735999999999999</v>
      </c>
      <c r="K44" s="55"/>
    </row>
    <row r="45" spans="1:11">
      <c r="A45" t="s">
        <v>183</v>
      </c>
      <c r="B45" s="15">
        <v>8000</v>
      </c>
      <c r="C45" s="15">
        <v>8000</v>
      </c>
      <c r="D45">
        <v>8000</v>
      </c>
      <c r="E45" s="23"/>
      <c r="F45" s="23"/>
      <c r="G45">
        <v>200</v>
      </c>
      <c r="H45">
        <v>0.3024</v>
      </c>
      <c r="K45" s="55"/>
    </row>
    <row r="46" spans="1:11">
      <c r="A46" t="s">
        <v>184</v>
      </c>
      <c r="B46" s="15">
        <v>6000</v>
      </c>
      <c r="C46" s="15">
        <v>6000</v>
      </c>
      <c r="D46">
        <v>6000</v>
      </c>
      <c r="E46" s="23"/>
      <c r="F46" s="23"/>
      <c r="G46">
        <v>200</v>
      </c>
      <c r="H46">
        <v>0.28499999999999998</v>
      </c>
      <c r="K46" s="55"/>
    </row>
    <row r="47" spans="1:11">
      <c r="A47" t="s">
        <v>185</v>
      </c>
      <c r="B47">
        <v>200</v>
      </c>
      <c r="C47">
        <v>200</v>
      </c>
      <c r="D47">
        <v>200</v>
      </c>
      <c r="E47" s="23"/>
      <c r="F47" s="23"/>
      <c r="G47">
        <v>10</v>
      </c>
      <c r="H47">
        <v>7.9024000000000001</v>
      </c>
      <c r="K47" s="55"/>
    </row>
    <row r="48" spans="1:11">
      <c r="A48" t="s">
        <v>186</v>
      </c>
      <c r="B48">
        <v>100</v>
      </c>
      <c r="C48">
        <v>100</v>
      </c>
      <c r="D48">
        <v>100</v>
      </c>
      <c r="E48" s="23"/>
      <c r="F48" s="23"/>
      <c r="G48">
        <v>10</v>
      </c>
      <c r="H48">
        <v>2.7622</v>
      </c>
      <c r="K48" s="55"/>
    </row>
    <row r="49" spans="1:11">
      <c r="A49" t="s">
        <v>187</v>
      </c>
      <c r="B49" s="15">
        <v>30000</v>
      </c>
      <c r="C49" s="15">
        <v>30000</v>
      </c>
      <c r="D49">
        <v>30000</v>
      </c>
      <c r="E49" s="23"/>
      <c r="F49" s="23"/>
      <c r="G49">
        <v>30</v>
      </c>
      <c r="H49">
        <v>3.78E-2</v>
      </c>
      <c r="K49" s="55"/>
    </row>
    <row r="50" spans="1:11">
      <c r="A50" t="s">
        <v>188</v>
      </c>
      <c r="B50">
        <v>0</v>
      </c>
      <c r="C50">
        <v>0</v>
      </c>
      <c r="D50">
        <v>0</v>
      </c>
      <c r="E50" s="23"/>
      <c r="F50" s="23"/>
      <c r="G50">
        <v>30</v>
      </c>
      <c r="H50">
        <v>3.78E-2</v>
      </c>
      <c r="K50" s="55"/>
    </row>
    <row r="51" spans="1:11">
      <c r="A51" t="s">
        <v>189</v>
      </c>
      <c r="B51">
        <v>100</v>
      </c>
      <c r="C51">
        <v>100</v>
      </c>
      <c r="D51">
        <v>100</v>
      </c>
      <c r="E51" s="23"/>
      <c r="F51" s="23"/>
      <c r="G51">
        <v>100</v>
      </c>
      <c r="H51">
        <v>0.73180000000000001</v>
      </c>
      <c r="K51" s="55"/>
    </row>
    <row r="52" spans="1:11">
      <c r="A52" t="s">
        <v>190</v>
      </c>
      <c r="B52" s="15">
        <v>1000</v>
      </c>
      <c r="C52" s="15">
        <v>1000</v>
      </c>
      <c r="D52">
        <v>1000</v>
      </c>
      <c r="E52" s="23"/>
      <c r="F52" s="23"/>
      <c r="G52">
        <v>30</v>
      </c>
      <c r="H52">
        <v>0.15110000000000001</v>
      </c>
      <c r="K52" s="55"/>
    </row>
    <row r="53" spans="1:11">
      <c r="A53" t="s">
        <v>191</v>
      </c>
      <c r="B53">
        <v>0</v>
      </c>
      <c r="C53">
        <v>0</v>
      </c>
      <c r="D53">
        <v>0</v>
      </c>
      <c r="E53" s="23"/>
      <c r="F53" s="23"/>
      <c r="G53">
        <v>30</v>
      </c>
      <c r="H53">
        <v>5.6099999999999997E-2</v>
      </c>
      <c r="K53" s="55"/>
    </row>
    <row r="54" spans="1:11">
      <c r="A54" t="s">
        <v>192</v>
      </c>
      <c r="B54">
        <v>0</v>
      </c>
      <c r="C54">
        <v>0</v>
      </c>
      <c r="D54">
        <v>0</v>
      </c>
      <c r="E54" s="23"/>
      <c r="F54" s="23"/>
      <c r="G54">
        <v>30</v>
      </c>
      <c r="H54">
        <v>0.11700000000000001</v>
      </c>
      <c r="K54" s="55"/>
    </row>
    <row r="55" spans="1:11">
      <c r="A55" t="s">
        <v>193</v>
      </c>
      <c r="B55" s="15">
        <v>30000</v>
      </c>
      <c r="C55" s="15">
        <v>30000</v>
      </c>
      <c r="D55">
        <v>30000</v>
      </c>
      <c r="E55" s="23"/>
      <c r="F55" s="23"/>
      <c r="G55">
        <v>500</v>
      </c>
      <c r="H55">
        <v>0.03</v>
      </c>
      <c r="K55" s="55"/>
    </row>
    <row r="56" spans="1:11">
      <c r="A56" t="s">
        <v>194</v>
      </c>
      <c r="B56" s="15">
        <v>40000</v>
      </c>
      <c r="C56" s="15">
        <v>40000</v>
      </c>
      <c r="D56">
        <v>40000</v>
      </c>
      <c r="E56" s="23"/>
      <c r="F56" s="23"/>
      <c r="G56">
        <v>500</v>
      </c>
      <c r="H56">
        <v>4.5499999999999999E-2</v>
      </c>
      <c r="K56" s="55"/>
    </row>
    <row r="57" spans="1:11">
      <c r="A57" t="s">
        <v>195</v>
      </c>
      <c r="B57">
        <v>0</v>
      </c>
      <c r="C57">
        <v>0</v>
      </c>
      <c r="D57">
        <v>0</v>
      </c>
      <c r="E57" s="23"/>
      <c r="F57" s="23"/>
      <c r="G57">
        <v>500</v>
      </c>
      <c r="H57">
        <v>3.4099999999999998E-2</v>
      </c>
      <c r="K57" s="55"/>
    </row>
    <row r="58" spans="1:11">
      <c r="A58" t="s">
        <v>196</v>
      </c>
      <c r="B58">
        <v>0</v>
      </c>
      <c r="C58">
        <v>0</v>
      </c>
      <c r="D58">
        <v>0</v>
      </c>
      <c r="E58" s="23"/>
      <c r="F58" s="23"/>
      <c r="G58">
        <v>30</v>
      </c>
      <c r="H58">
        <v>0.50560000000000005</v>
      </c>
      <c r="K58" s="55"/>
    </row>
    <row r="59" spans="1:11">
      <c r="A59" t="s">
        <v>197</v>
      </c>
      <c r="B59" s="15">
        <v>20000</v>
      </c>
      <c r="C59" s="15">
        <v>20000</v>
      </c>
      <c r="D59">
        <v>20000</v>
      </c>
      <c r="E59" s="23"/>
      <c r="F59" s="23"/>
      <c r="G59">
        <v>30</v>
      </c>
      <c r="H59">
        <v>0.15679999999999999</v>
      </c>
      <c r="K59" s="55"/>
    </row>
    <row r="60" spans="1:11">
      <c r="A60" t="s">
        <v>198</v>
      </c>
      <c r="B60" s="15">
        <v>10000</v>
      </c>
      <c r="C60" s="15">
        <v>10000</v>
      </c>
      <c r="D60">
        <v>10000</v>
      </c>
      <c r="E60" s="23"/>
      <c r="F60" s="23"/>
      <c r="G60">
        <v>100</v>
      </c>
      <c r="H60">
        <v>0.1166</v>
      </c>
      <c r="K60" s="55"/>
    </row>
    <row r="61" spans="1:11">
      <c r="A61" t="s">
        <v>199</v>
      </c>
      <c r="B61">
        <v>100</v>
      </c>
      <c r="C61">
        <v>100</v>
      </c>
      <c r="D61">
        <v>100</v>
      </c>
      <c r="E61" s="23"/>
      <c r="F61" s="23"/>
      <c r="G61">
        <v>100</v>
      </c>
      <c r="H61">
        <v>1.8635999999999999</v>
      </c>
      <c r="K61" s="55"/>
    </row>
    <row r="62" spans="1:11">
      <c r="A62" t="s">
        <v>200</v>
      </c>
      <c r="B62" s="15">
        <v>15000</v>
      </c>
      <c r="C62" s="15">
        <v>15000</v>
      </c>
      <c r="D62">
        <v>15000</v>
      </c>
      <c r="E62" s="23"/>
      <c r="F62" s="23"/>
      <c r="G62">
        <v>30</v>
      </c>
      <c r="H62">
        <v>0.19</v>
      </c>
      <c r="K62" s="55"/>
    </row>
    <row r="63" spans="1:11">
      <c r="A63" t="s">
        <v>201</v>
      </c>
      <c r="B63">
        <v>100</v>
      </c>
      <c r="C63">
        <v>100</v>
      </c>
      <c r="D63">
        <v>100</v>
      </c>
      <c r="E63" s="23"/>
      <c r="F63" s="23"/>
      <c r="G63">
        <v>25</v>
      </c>
      <c r="H63">
        <v>2.5718999999999999</v>
      </c>
      <c r="K63" s="55"/>
    </row>
    <row r="64" spans="1:11">
      <c r="A64" t="s">
        <v>202</v>
      </c>
      <c r="B64">
        <v>200</v>
      </c>
      <c r="C64">
        <v>200</v>
      </c>
      <c r="D64">
        <v>200</v>
      </c>
      <c r="E64" s="23"/>
      <c r="F64" s="23"/>
      <c r="G64">
        <v>10</v>
      </c>
      <c r="H64">
        <v>5.3657000000000004</v>
      </c>
      <c r="K64" s="55"/>
    </row>
    <row r="65" spans="1:11">
      <c r="A65" t="s">
        <v>203</v>
      </c>
      <c r="B65">
        <v>0</v>
      </c>
      <c r="C65">
        <v>0</v>
      </c>
      <c r="D65">
        <v>0</v>
      </c>
      <c r="E65" s="23"/>
      <c r="F65" s="23"/>
      <c r="G65">
        <v>30</v>
      </c>
      <c r="H65">
        <v>0.193</v>
      </c>
      <c r="K65" s="55"/>
    </row>
    <row r="66" spans="1:11">
      <c r="A66" t="s">
        <v>204</v>
      </c>
      <c r="B66">
        <v>100</v>
      </c>
      <c r="C66">
        <v>100</v>
      </c>
      <c r="D66">
        <v>100</v>
      </c>
      <c r="E66" s="23"/>
      <c r="F66" s="23"/>
      <c r="G66">
        <v>5</v>
      </c>
      <c r="H66">
        <v>5.0568</v>
      </c>
      <c r="K66" s="55"/>
    </row>
    <row r="67" spans="1:11">
      <c r="A67" t="s">
        <v>205</v>
      </c>
      <c r="B67" s="15">
        <v>25000</v>
      </c>
      <c r="C67" s="15">
        <v>25000</v>
      </c>
      <c r="D67">
        <v>25000</v>
      </c>
      <c r="E67" s="23"/>
      <c r="F67" s="23"/>
      <c r="G67">
        <v>70</v>
      </c>
      <c r="H67">
        <v>5.3400000000000003E-2</v>
      </c>
      <c r="K67" s="55"/>
    </row>
    <row r="68" spans="1:11">
      <c r="A68" t="s">
        <v>206</v>
      </c>
      <c r="B68">
        <v>200</v>
      </c>
      <c r="C68">
        <v>200</v>
      </c>
      <c r="D68">
        <v>200</v>
      </c>
      <c r="E68" s="23"/>
      <c r="F68" s="23"/>
      <c r="G68">
        <v>100</v>
      </c>
      <c r="H68">
        <v>0.61240000000000006</v>
      </c>
      <c r="K68" s="55"/>
    </row>
    <row r="69" spans="1:11">
      <c r="A69" t="s">
        <v>207</v>
      </c>
      <c r="B69" s="15">
        <v>30000</v>
      </c>
      <c r="C69" s="15">
        <v>30000</v>
      </c>
      <c r="D69">
        <v>30000</v>
      </c>
      <c r="E69" s="23"/>
      <c r="F69" s="23"/>
      <c r="G69">
        <v>500</v>
      </c>
      <c r="H69">
        <v>4.4200000000000003E-2</v>
      </c>
      <c r="K69" s="55"/>
    </row>
    <row r="70" spans="1:11">
      <c r="A70" t="s">
        <v>208</v>
      </c>
      <c r="B70" s="15">
        <v>8000</v>
      </c>
      <c r="C70" s="15">
        <v>8000</v>
      </c>
      <c r="D70">
        <v>8000</v>
      </c>
      <c r="E70" s="23"/>
      <c r="F70" s="23"/>
      <c r="G70">
        <v>30</v>
      </c>
      <c r="H70">
        <v>2.4799999999999999E-2</v>
      </c>
      <c r="K70" s="55"/>
    </row>
    <row r="71" spans="1:11">
      <c r="A71" t="s">
        <v>209</v>
      </c>
      <c r="B71">
        <v>0</v>
      </c>
      <c r="C71">
        <v>0</v>
      </c>
      <c r="D71">
        <v>0</v>
      </c>
      <c r="E71" s="23"/>
      <c r="F71" s="23"/>
      <c r="G71">
        <v>30</v>
      </c>
      <c r="H71">
        <v>8.4099999999999994E-2</v>
      </c>
      <c r="K71" s="55"/>
    </row>
    <row r="72" spans="1:11">
      <c r="A72" t="s">
        <v>210</v>
      </c>
      <c r="B72">
        <v>0</v>
      </c>
      <c r="C72">
        <v>0</v>
      </c>
      <c r="D72">
        <v>0</v>
      </c>
      <c r="E72" s="23"/>
      <c r="F72" s="23"/>
      <c r="G72">
        <v>30</v>
      </c>
      <c r="H72">
        <v>0.21</v>
      </c>
      <c r="K72" s="55"/>
    </row>
    <row r="73" spans="1:11">
      <c r="A73" t="s">
        <v>211</v>
      </c>
      <c r="B73">
        <v>0</v>
      </c>
      <c r="C73">
        <v>0</v>
      </c>
      <c r="D73">
        <v>0</v>
      </c>
      <c r="E73" s="23"/>
      <c r="F73" s="23"/>
      <c r="G73">
        <v>200</v>
      </c>
      <c r="H73">
        <v>0.16789999999999999</v>
      </c>
      <c r="K73" s="55"/>
    </row>
    <row r="74" spans="1:11">
      <c r="A74" t="s">
        <v>212</v>
      </c>
      <c r="B74">
        <v>200</v>
      </c>
      <c r="C74">
        <v>200</v>
      </c>
      <c r="D74">
        <v>200</v>
      </c>
      <c r="E74" s="23"/>
      <c r="F74" s="23"/>
      <c r="G74">
        <v>1</v>
      </c>
      <c r="H74">
        <v>3.1818</v>
      </c>
      <c r="K74" s="55"/>
    </row>
    <row r="75" spans="1:11">
      <c r="A75" t="s">
        <v>213</v>
      </c>
      <c r="B75" s="15">
        <v>30000</v>
      </c>
      <c r="C75" s="15">
        <v>30000</v>
      </c>
      <c r="D75">
        <v>30000</v>
      </c>
      <c r="E75" s="23"/>
      <c r="F75" s="23"/>
      <c r="G75">
        <v>200</v>
      </c>
      <c r="H75">
        <v>8.4099999999999994E-2</v>
      </c>
      <c r="K75" s="55"/>
    </row>
    <row r="76" spans="1:11">
      <c r="A76" t="s">
        <v>214</v>
      </c>
      <c r="B76">
        <v>100</v>
      </c>
      <c r="C76">
        <v>100</v>
      </c>
      <c r="D76">
        <v>100</v>
      </c>
      <c r="E76" s="23"/>
      <c r="F76" s="23"/>
      <c r="G76">
        <v>50</v>
      </c>
      <c r="H76">
        <v>1.9512</v>
      </c>
      <c r="K76" s="55"/>
    </row>
    <row r="77" spans="1:11">
      <c r="A77" t="s">
        <v>215</v>
      </c>
      <c r="B77">
        <v>300</v>
      </c>
      <c r="C77">
        <v>300</v>
      </c>
      <c r="D77">
        <v>300</v>
      </c>
      <c r="E77" s="23"/>
      <c r="F77" s="23"/>
      <c r="G77">
        <v>3</v>
      </c>
      <c r="H77">
        <v>4.8780000000000001</v>
      </c>
      <c r="K77" s="55"/>
    </row>
    <row r="78" spans="1:11">
      <c r="A78" t="s">
        <v>216</v>
      </c>
      <c r="B78" s="15">
        <v>6000</v>
      </c>
      <c r="C78" s="15">
        <v>6000</v>
      </c>
      <c r="D78">
        <v>6000</v>
      </c>
      <c r="E78" s="23"/>
      <c r="F78" s="23"/>
      <c r="G78">
        <v>60</v>
      </c>
      <c r="H78">
        <v>0.38169999999999998</v>
      </c>
      <c r="K78" s="55"/>
    </row>
    <row r="79" spans="1:11">
      <c r="A79" t="s">
        <v>217</v>
      </c>
      <c r="B79" s="15">
        <v>8500</v>
      </c>
      <c r="C79" s="15">
        <v>8500</v>
      </c>
      <c r="D79">
        <v>8500</v>
      </c>
      <c r="E79" s="23"/>
      <c r="F79" s="23"/>
      <c r="G79">
        <v>60</v>
      </c>
      <c r="H79">
        <v>0.51029999999999998</v>
      </c>
      <c r="K79" s="55"/>
    </row>
    <row r="80" spans="1:11">
      <c r="A80" t="s">
        <v>218</v>
      </c>
      <c r="B80" s="15">
        <v>40000</v>
      </c>
      <c r="C80" s="15">
        <v>40000</v>
      </c>
      <c r="D80">
        <v>40000</v>
      </c>
      <c r="E80" s="23"/>
      <c r="F80" s="23"/>
      <c r="G80">
        <v>30</v>
      </c>
      <c r="H80">
        <v>2.1999999999999999E-2</v>
      </c>
      <c r="K80" s="55"/>
    </row>
    <row r="81" spans="1:11">
      <c r="A81" t="s">
        <v>219</v>
      </c>
      <c r="B81" s="15">
        <v>1000</v>
      </c>
      <c r="C81" s="15">
        <v>1000</v>
      </c>
      <c r="D81">
        <v>1000</v>
      </c>
      <c r="E81" s="23"/>
      <c r="F81" s="23"/>
      <c r="G81">
        <v>30</v>
      </c>
      <c r="H81">
        <v>0.28660000000000002</v>
      </c>
      <c r="K81" s="55"/>
    </row>
    <row r="82" spans="1:11">
      <c r="A82" t="s">
        <v>220</v>
      </c>
      <c r="B82" s="15">
        <v>8000</v>
      </c>
      <c r="C82" s="15">
        <v>8000</v>
      </c>
      <c r="D82">
        <v>8000</v>
      </c>
      <c r="E82" s="23"/>
      <c r="F82" s="23"/>
      <c r="G82">
        <v>100</v>
      </c>
      <c r="H82">
        <v>0.14449999999999999</v>
      </c>
      <c r="K82" s="55"/>
    </row>
    <row r="83" spans="1:11">
      <c r="A83" t="s">
        <v>221</v>
      </c>
      <c r="B83">
        <v>0</v>
      </c>
      <c r="C83">
        <v>0</v>
      </c>
      <c r="D83">
        <v>0</v>
      </c>
      <c r="E83" s="23"/>
      <c r="F83" s="23"/>
      <c r="G83">
        <v>30</v>
      </c>
      <c r="H83">
        <v>0.2923</v>
      </c>
      <c r="K83" s="55"/>
    </row>
    <row r="84" spans="1:11">
      <c r="A84" t="s">
        <v>222</v>
      </c>
      <c r="B84" s="15">
        <v>8000</v>
      </c>
      <c r="C84" s="15">
        <v>8000</v>
      </c>
      <c r="D84">
        <v>8000</v>
      </c>
      <c r="E84" s="23"/>
      <c r="F84" s="23"/>
      <c r="G84">
        <v>30</v>
      </c>
      <c r="H84">
        <v>0.73119999999999996</v>
      </c>
      <c r="K84" s="55"/>
    </row>
    <row r="85" spans="1:11">
      <c r="A85" t="s">
        <v>223</v>
      </c>
      <c r="B85" s="15">
        <v>4000</v>
      </c>
      <c r="C85" s="15">
        <v>4000</v>
      </c>
      <c r="D85">
        <v>4000</v>
      </c>
      <c r="E85" s="23"/>
      <c r="F85" s="23"/>
      <c r="G85">
        <v>30</v>
      </c>
      <c r="H85">
        <v>1.4390000000000001</v>
      </c>
      <c r="K85" s="55"/>
    </row>
    <row r="86" spans="1:11">
      <c r="A86" t="s">
        <v>224</v>
      </c>
      <c r="B86" s="15">
        <v>7000</v>
      </c>
      <c r="C86" s="15">
        <v>7000</v>
      </c>
      <c r="D86">
        <v>7000</v>
      </c>
      <c r="E86" s="23"/>
      <c r="F86" s="23"/>
      <c r="G86">
        <v>50</v>
      </c>
      <c r="H86">
        <v>6.5000000000000002E-2</v>
      </c>
      <c r="K86" s="55"/>
    </row>
    <row r="87" spans="1:11">
      <c r="A87" t="s">
        <v>225</v>
      </c>
      <c r="B87" s="15">
        <v>15000</v>
      </c>
      <c r="C87" s="15">
        <v>15000</v>
      </c>
      <c r="D87">
        <v>15000</v>
      </c>
      <c r="E87" s="23"/>
      <c r="F87" s="23"/>
      <c r="G87">
        <v>50</v>
      </c>
      <c r="H87">
        <v>6.5000000000000002E-2</v>
      </c>
      <c r="K87" s="55"/>
    </row>
    <row r="88" spans="1:11">
      <c r="A88" t="s">
        <v>226</v>
      </c>
      <c r="B88" s="15">
        <v>15000</v>
      </c>
      <c r="C88" s="15">
        <v>15000</v>
      </c>
      <c r="D88">
        <v>15000</v>
      </c>
      <c r="E88" s="23"/>
      <c r="F88" s="23"/>
      <c r="G88">
        <v>50</v>
      </c>
      <c r="H88">
        <v>6.5000000000000002E-2</v>
      </c>
      <c r="K88" s="55"/>
    </row>
    <row r="89" spans="1:11">
      <c r="A89" t="s">
        <v>227</v>
      </c>
      <c r="B89" s="15">
        <v>15000</v>
      </c>
      <c r="C89" s="15">
        <v>15000</v>
      </c>
      <c r="D89">
        <v>15000</v>
      </c>
      <c r="E89" s="23"/>
      <c r="F89" s="23"/>
      <c r="G89">
        <v>500</v>
      </c>
      <c r="H89">
        <v>0.2457</v>
      </c>
      <c r="K89" s="55"/>
    </row>
    <row r="90" spans="1:11">
      <c r="A90" t="s">
        <v>228</v>
      </c>
      <c r="B90" s="15">
        <v>50000</v>
      </c>
      <c r="C90" s="15">
        <v>50000</v>
      </c>
      <c r="D90">
        <v>50000</v>
      </c>
      <c r="E90" s="23"/>
      <c r="F90" s="23"/>
      <c r="G90">
        <v>30</v>
      </c>
      <c r="H90">
        <v>3.3599999999999998E-2</v>
      </c>
      <c r="K90" s="55"/>
    </row>
    <row r="91" spans="1:11">
      <c r="A91" t="s">
        <v>229</v>
      </c>
      <c r="B91">
        <v>200</v>
      </c>
      <c r="C91">
        <v>200</v>
      </c>
      <c r="D91">
        <v>200</v>
      </c>
      <c r="E91" s="23"/>
      <c r="F91" s="23"/>
      <c r="G91">
        <v>200</v>
      </c>
      <c r="H91">
        <v>4.5</v>
      </c>
      <c r="K91" s="55"/>
    </row>
    <row r="92" spans="1:11">
      <c r="A92" t="s">
        <v>230</v>
      </c>
      <c r="B92">
        <v>0</v>
      </c>
      <c r="C92">
        <v>0</v>
      </c>
      <c r="D92">
        <v>0</v>
      </c>
      <c r="E92" s="23"/>
      <c r="F92" s="23"/>
      <c r="G92">
        <v>200</v>
      </c>
      <c r="H92">
        <v>0.94989999999999997</v>
      </c>
      <c r="K92" s="55"/>
    </row>
    <row r="93" spans="1:11">
      <c r="A93" t="s">
        <v>231</v>
      </c>
      <c r="B93" s="15">
        <v>10000</v>
      </c>
      <c r="C93" s="15">
        <v>10000</v>
      </c>
      <c r="D93">
        <v>10000</v>
      </c>
      <c r="E93" s="23"/>
      <c r="F93" s="23"/>
      <c r="G93">
        <v>200</v>
      </c>
      <c r="H93">
        <v>9.6500000000000002E-2</v>
      </c>
      <c r="K93" s="55"/>
    </row>
    <row r="94" spans="1:11">
      <c r="A94" t="s">
        <v>232</v>
      </c>
      <c r="B94" s="15">
        <v>45000</v>
      </c>
      <c r="C94" s="15">
        <v>45000</v>
      </c>
      <c r="D94">
        <v>45000</v>
      </c>
      <c r="E94" s="23"/>
      <c r="F94" s="23"/>
      <c r="G94">
        <v>200</v>
      </c>
      <c r="H94">
        <v>0.08</v>
      </c>
      <c r="K94" s="55"/>
    </row>
    <row r="95" spans="1:11">
      <c r="A95" t="s">
        <v>233</v>
      </c>
      <c r="B95" s="15">
        <v>5000</v>
      </c>
      <c r="C95" s="15">
        <v>5000</v>
      </c>
      <c r="D95">
        <v>5000</v>
      </c>
      <c r="E95" s="23"/>
      <c r="F95" s="23"/>
      <c r="G95">
        <v>500</v>
      </c>
      <c r="H95">
        <v>0.45429999999999998</v>
      </c>
      <c r="K95" s="55"/>
    </row>
    <row r="96" spans="1:11">
      <c r="A96" t="s">
        <v>234</v>
      </c>
      <c r="B96">
        <v>0</v>
      </c>
      <c r="C96">
        <v>0</v>
      </c>
      <c r="D96">
        <v>0</v>
      </c>
      <c r="E96" s="23"/>
      <c r="F96" s="23"/>
      <c r="G96">
        <v>30</v>
      </c>
      <c r="H96">
        <v>0.56789999999999996</v>
      </c>
      <c r="K96" s="55"/>
    </row>
    <row r="97" spans="1:11">
      <c r="A97" t="s">
        <v>235</v>
      </c>
      <c r="B97">
        <v>0</v>
      </c>
      <c r="C97">
        <v>0</v>
      </c>
      <c r="D97">
        <v>0</v>
      </c>
      <c r="E97" s="23"/>
      <c r="F97" s="23"/>
      <c r="G97">
        <v>30</v>
      </c>
      <c r="H97">
        <v>0.2099</v>
      </c>
      <c r="K97" s="55"/>
    </row>
    <row r="98" spans="1:11">
      <c r="A98" t="s">
        <v>236</v>
      </c>
      <c r="B98">
        <v>0</v>
      </c>
      <c r="C98">
        <v>0</v>
      </c>
      <c r="D98">
        <v>0</v>
      </c>
      <c r="E98" s="23"/>
      <c r="F98" s="23"/>
      <c r="G98">
        <v>30</v>
      </c>
      <c r="H98">
        <v>0.3589</v>
      </c>
      <c r="K98" s="55"/>
    </row>
    <row r="99" spans="1:11">
      <c r="A99" t="s">
        <v>237</v>
      </c>
      <c r="B99">
        <v>0</v>
      </c>
      <c r="C99">
        <v>0</v>
      </c>
      <c r="D99">
        <v>0</v>
      </c>
      <c r="E99" s="23"/>
      <c r="F99" s="23"/>
      <c r="G99">
        <v>30</v>
      </c>
      <c r="H99">
        <v>0.20219999999999999</v>
      </c>
      <c r="K99" s="55"/>
    </row>
    <row r="100" spans="1:11">
      <c r="A100" t="s">
        <v>238</v>
      </c>
      <c r="B100">
        <v>0</v>
      </c>
      <c r="C100">
        <v>0</v>
      </c>
      <c r="D100">
        <v>0</v>
      </c>
      <c r="E100" s="23"/>
      <c r="F100" s="23"/>
      <c r="G100">
        <v>12</v>
      </c>
      <c r="H100">
        <v>24.3048</v>
      </c>
      <c r="K100" s="55"/>
    </row>
    <row r="101" spans="1:11">
      <c r="A101" t="s">
        <v>239</v>
      </c>
      <c r="B101">
        <v>100</v>
      </c>
      <c r="C101">
        <v>100</v>
      </c>
      <c r="D101">
        <v>100</v>
      </c>
      <c r="E101" s="23"/>
      <c r="F101" s="23"/>
      <c r="G101">
        <v>50</v>
      </c>
      <c r="H101">
        <v>5.0167000000000002</v>
      </c>
      <c r="K101" s="55"/>
    </row>
    <row r="102" spans="1:11">
      <c r="A102" t="s">
        <v>240</v>
      </c>
      <c r="B102">
        <v>0</v>
      </c>
      <c r="C102">
        <v>0</v>
      </c>
      <c r="D102">
        <v>0</v>
      </c>
      <c r="E102" s="23"/>
      <c r="F102" s="23"/>
      <c r="G102">
        <v>30</v>
      </c>
      <c r="H102">
        <v>9.0999999999999998E-2</v>
      </c>
      <c r="K102" s="55"/>
    </row>
    <row r="103" spans="1:11">
      <c r="A103" t="s">
        <v>241</v>
      </c>
      <c r="B103" s="15">
        <v>3000</v>
      </c>
      <c r="C103" s="15">
        <v>3000</v>
      </c>
      <c r="D103">
        <v>3000</v>
      </c>
      <c r="E103" s="23"/>
      <c r="F103" s="23"/>
      <c r="G103">
        <v>280</v>
      </c>
      <c r="H103">
        <v>0.2099</v>
      </c>
      <c r="K103" s="55"/>
    </row>
    <row r="104" spans="1:11">
      <c r="A104" t="s">
        <v>242</v>
      </c>
      <c r="B104">
        <v>0</v>
      </c>
      <c r="C104">
        <v>0</v>
      </c>
      <c r="D104">
        <v>0</v>
      </c>
      <c r="E104" s="23"/>
      <c r="F104" s="23"/>
      <c r="G104">
        <v>30</v>
      </c>
      <c r="H104">
        <v>0.94989999999999997</v>
      </c>
      <c r="K104" s="55"/>
    </row>
    <row r="105" spans="1:11">
      <c r="A105" t="s">
        <v>243</v>
      </c>
      <c r="B105" s="15">
        <v>12000</v>
      </c>
      <c r="C105" s="15">
        <v>12000</v>
      </c>
      <c r="D105">
        <v>12000</v>
      </c>
      <c r="E105" s="23"/>
      <c r="F105" s="23"/>
      <c r="G105">
        <v>30</v>
      </c>
      <c r="H105">
        <v>0.17799999999999999</v>
      </c>
      <c r="K105" s="55"/>
    </row>
    <row r="106" spans="1:11">
      <c r="A106" t="s">
        <v>244</v>
      </c>
      <c r="B106" s="15">
        <v>8000</v>
      </c>
      <c r="C106" s="15">
        <v>8000</v>
      </c>
      <c r="D106">
        <v>8000</v>
      </c>
      <c r="E106" s="23"/>
      <c r="F106" s="23"/>
      <c r="G106">
        <v>30</v>
      </c>
      <c r="H106">
        <v>0.29260000000000003</v>
      </c>
      <c r="K106" s="55"/>
    </row>
    <row r="107" spans="1:11">
      <c r="A107" t="s">
        <v>245</v>
      </c>
      <c r="B107">
        <v>0</v>
      </c>
      <c r="C107">
        <v>0</v>
      </c>
      <c r="D107">
        <v>0</v>
      </c>
      <c r="E107" s="23"/>
      <c r="F107" s="23"/>
      <c r="G107">
        <v>30</v>
      </c>
      <c r="H107">
        <v>0.65910000000000002</v>
      </c>
      <c r="K107" s="55"/>
    </row>
    <row r="108" spans="1:11">
      <c r="A108" t="s">
        <v>246</v>
      </c>
      <c r="B108" s="15">
        <v>30000</v>
      </c>
      <c r="C108" s="15">
        <v>30000</v>
      </c>
      <c r="D108">
        <v>30000</v>
      </c>
      <c r="E108" s="23"/>
      <c r="F108" s="23"/>
      <c r="G108">
        <v>56</v>
      </c>
      <c r="H108">
        <v>4.58E-2</v>
      </c>
      <c r="K108" s="55"/>
    </row>
    <row r="109" spans="1:11">
      <c r="A109" t="s">
        <v>247</v>
      </c>
      <c r="B109">
        <v>0</v>
      </c>
      <c r="C109">
        <v>0</v>
      </c>
      <c r="D109">
        <v>0</v>
      </c>
      <c r="E109" s="23"/>
      <c r="F109" s="23"/>
      <c r="G109">
        <v>30</v>
      </c>
      <c r="H109">
        <v>0.18529999999999999</v>
      </c>
      <c r="K109" s="55"/>
    </row>
    <row r="110" spans="1:11">
      <c r="A110" t="s">
        <v>248</v>
      </c>
      <c r="B110">
        <v>0</v>
      </c>
      <c r="C110">
        <v>0</v>
      </c>
      <c r="D110">
        <v>0</v>
      </c>
      <c r="E110" s="23"/>
      <c r="F110" s="23"/>
      <c r="G110">
        <v>30</v>
      </c>
      <c r="H110">
        <v>0.2195</v>
      </c>
      <c r="K110" s="55"/>
    </row>
    <row r="111" spans="1:11">
      <c r="A111" t="s">
        <v>249</v>
      </c>
      <c r="B111">
        <v>0</v>
      </c>
      <c r="C111">
        <v>0</v>
      </c>
      <c r="D111">
        <v>0</v>
      </c>
      <c r="E111" s="23"/>
      <c r="F111" s="23"/>
      <c r="G111">
        <v>90</v>
      </c>
      <c r="H111">
        <v>0.4541</v>
      </c>
      <c r="K111" s="55"/>
    </row>
    <row r="112" spans="1:11">
      <c r="A112" t="s">
        <v>250</v>
      </c>
      <c r="B112">
        <v>0</v>
      </c>
      <c r="C112">
        <v>0</v>
      </c>
      <c r="D112">
        <v>0</v>
      </c>
      <c r="E112" s="23"/>
      <c r="F112" s="23"/>
      <c r="G112">
        <v>300</v>
      </c>
      <c r="H112">
        <v>0.51129999999999998</v>
      </c>
      <c r="K112" s="55"/>
    </row>
    <row r="113" spans="1:11">
      <c r="A113" t="s">
        <v>251</v>
      </c>
      <c r="B113" s="15">
        <v>8000</v>
      </c>
      <c r="C113" s="15">
        <v>8000</v>
      </c>
      <c r="D113">
        <v>8000</v>
      </c>
      <c r="E113" s="23"/>
      <c r="F113" s="23"/>
      <c r="G113">
        <v>500</v>
      </c>
      <c r="H113">
        <v>3.3599999999999998E-2</v>
      </c>
      <c r="K113" s="55"/>
    </row>
    <row r="114" spans="1:11">
      <c r="A114" t="s">
        <v>252</v>
      </c>
      <c r="B114" s="15">
        <v>5000</v>
      </c>
      <c r="C114" s="15">
        <v>5000</v>
      </c>
      <c r="D114">
        <v>5000</v>
      </c>
      <c r="E114" s="23"/>
      <c r="F114" s="23"/>
      <c r="G114">
        <v>30</v>
      </c>
      <c r="H114">
        <v>4.7899999999999998E-2</v>
      </c>
      <c r="K114" s="55"/>
    </row>
    <row r="115" spans="1:11">
      <c r="A115" t="s">
        <v>253</v>
      </c>
      <c r="B115" s="15">
        <v>15000</v>
      </c>
      <c r="C115" s="15">
        <v>15000</v>
      </c>
      <c r="D115">
        <v>15000</v>
      </c>
      <c r="E115" s="23"/>
      <c r="F115" s="23"/>
      <c r="G115">
        <v>150</v>
      </c>
      <c r="H115">
        <v>3.7600000000000001E-2</v>
      </c>
      <c r="K115" s="55"/>
    </row>
    <row r="116" spans="1:11">
      <c r="A116" t="s">
        <v>254</v>
      </c>
      <c r="B116" s="15">
        <v>30000</v>
      </c>
      <c r="C116" s="15">
        <v>30000</v>
      </c>
      <c r="D116">
        <v>30000</v>
      </c>
      <c r="E116" s="23"/>
      <c r="F116" s="23"/>
      <c r="G116">
        <v>30</v>
      </c>
      <c r="H116">
        <v>7.8E-2</v>
      </c>
      <c r="K116" s="55"/>
    </row>
    <row r="117" spans="1:11">
      <c r="A117" t="s">
        <v>255</v>
      </c>
      <c r="B117">
        <v>200</v>
      </c>
      <c r="C117">
        <v>200</v>
      </c>
      <c r="D117">
        <v>200</v>
      </c>
      <c r="E117" s="23"/>
      <c r="F117" s="23"/>
      <c r="G117">
        <v>1</v>
      </c>
      <c r="H117">
        <v>2.8635999999999999</v>
      </c>
      <c r="K117" s="55"/>
    </row>
    <row r="118" spans="1:11">
      <c r="A118" t="s">
        <v>256</v>
      </c>
      <c r="B118" s="15">
        <v>1000</v>
      </c>
      <c r="C118" s="15">
        <v>1000</v>
      </c>
      <c r="D118">
        <v>1000</v>
      </c>
      <c r="E118" s="23"/>
      <c r="F118" s="23"/>
      <c r="G118">
        <v>500</v>
      </c>
      <c r="H118">
        <v>0.13370000000000001</v>
      </c>
      <c r="K118" s="55"/>
    </row>
    <row r="119" spans="1:11">
      <c r="A119" t="s">
        <v>257</v>
      </c>
      <c r="B119">
        <v>0</v>
      </c>
      <c r="C119">
        <v>0</v>
      </c>
      <c r="D119">
        <v>0</v>
      </c>
      <c r="E119" s="23"/>
      <c r="F119" s="23"/>
      <c r="G119">
        <v>50</v>
      </c>
      <c r="H119">
        <v>3.431</v>
      </c>
      <c r="K119" s="55"/>
    </row>
    <row r="120" spans="1:11">
      <c r="A120" t="s">
        <v>258</v>
      </c>
      <c r="B120">
        <v>0</v>
      </c>
      <c r="C120">
        <v>0</v>
      </c>
      <c r="D120">
        <v>0</v>
      </c>
      <c r="E120" s="23"/>
      <c r="F120" s="23"/>
      <c r="G120">
        <v>80</v>
      </c>
      <c r="H120">
        <v>0.40910000000000002</v>
      </c>
      <c r="K120" s="55"/>
    </row>
    <row r="121" spans="1:11">
      <c r="A121" t="s">
        <v>259</v>
      </c>
      <c r="B121" s="15">
        <v>15000</v>
      </c>
      <c r="C121" s="15">
        <v>15000</v>
      </c>
      <c r="D121">
        <v>15000</v>
      </c>
      <c r="E121" s="23"/>
      <c r="F121" s="23"/>
      <c r="G121">
        <v>50</v>
      </c>
      <c r="H121">
        <v>0.2248</v>
      </c>
      <c r="K121" s="55"/>
    </row>
    <row r="122" spans="1:11">
      <c r="A122" t="s">
        <v>260</v>
      </c>
      <c r="B122">
        <v>200</v>
      </c>
      <c r="C122">
        <v>200</v>
      </c>
      <c r="D122">
        <v>200</v>
      </c>
      <c r="E122" s="23"/>
      <c r="F122" s="23"/>
      <c r="G122">
        <v>50</v>
      </c>
      <c r="H122">
        <v>5.0909000000000004</v>
      </c>
      <c r="K122" s="55"/>
    </row>
    <row r="123" spans="1:11">
      <c r="A123" t="s">
        <v>261</v>
      </c>
      <c r="B123" s="15">
        <v>6000</v>
      </c>
      <c r="C123" s="15">
        <v>6000</v>
      </c>
      <c r="D123">
        <v>6000</v>
      </c>
      <c r="E123" s="23"/>
      <c r="F123" s="23"/>
      <c r="G123">
        <v>50</v>
      </c>
      <c r="H123">
        <v>0.59740000000000004</v>
      </c>
      <c r="K123" s="55"/>
    </row>
    <row r="124" spans="1:11">
      <c r="A124" t="s">
        <v>262</v>
      </c>
      <c r="B124">
        <v>0</v>
      </c>
      <c r="C124">
        <v>0</v>
      </c>
      <c r="D124">
        <v>0</v>
      </c>
      <c r="E124" s="23"/>
      <c r="F124" s="23"/>
      <c r="G124">
        <v>150</v>
      </c>
      <c r="H124">
        <v>0.09</v>
      </c>
      <c r="K124" s="55"/>
    </row>
    <row r="125" spans="1:11">
      <c r="A125" t="s">
        <v>263</v>
      </c>
      <c r="B125">
        <v>0</v>
      </c>
      <c r="C125">
        <v>0</v>
      </c>
      <c r="D125">
        <v>0</v>
      </c>
      <c r="E125" s="23"/>
      <c r="F125" s="23"/>
      <c r="G125">
        <v>20</v>
      </c>
      <c r="H125">
        <v>0.88460000000000005</v>
      </c>
      <c r="K125" s="55"/>
    </row>
    <row r="126" spans="1:11">
      <c r="A126" t="s">
        <v>264</v>
      </c>
      <c r="B126">
        <v>0</v>
      </c>
      <c r="C126">
        <v>0</v>
      </c>
      <c r="D126">
        <v>0</v>
      </c>
      <c r="E126" s="23"/>
      <c r="F126" s="23"/>
      <c r="G126">
        <v>30</v>
      </c>
      <c r="H126">
        <v>0.219</v>
      </c>
      <c r="K126" s="55"/>
    </row>
    <row r="127" spans="1:11">
      <c r="A127" t="s">
        <v>265</v>
      </c>
      <c r="E127" s="21"/>
      <c r="F127" s="21"/>
      <c r="I127" s="25"/>
    </row>
    <row r="128" spans="1:11">
      <c r="E128" s="21"/>
      <c r="F128" s="21"/>
    </row>
    <row r="129" spans="1:6">
      <c r="E129" s="21"/>
      <c r="F129" s="21"/>
    </row>
    <row r="130" spans="1:6">
      <c r="E130" s="21"/>
      <c r="F130" s="21"/>
    </row>
    <row r="131" spans="1:6">
      <c r="A131" t="s">
        <v>266</v>
      </c>
      <c r="B131" t="s">
        <v>267</v>
      </c>
      <c r="E131" s="21"/>
      <c r="F131" s="21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2"/>
  <sheetViews>
    <sheetView workbookViewId="0">
      <selection activeCell="K17" sqref="K16:K17"/>
    </sheetView>
  </sheetViews>
  <sheetFormatPr defaultRowHeight="15"/>
  <cols>
    <col min="1" max="1" width="55.140625" customWidth="1"/>
  </cols>
  <sheetData>
    <row r="1" spans="1:8">
      <c r="A1" t="s">
        <v>134</v>
      </c>
    </row>
    <row r="2" spans="1:8">
      <c r="A2" t="s">
        <v>135</v>
      </c>
      <c r="D2" t="s">
        <v>136</v>
      </c>
      <c r="E2" t="s">
        <v>137</v>
      </c>
      <c r="F2" t="s">
        <v>138</v>
      </c>
      <c r="G2" t="s">
        <v>139</v>
      </c>
      <c r="H2" s="22">
        <v>46120</v>
      </c>
    </row>
    <row r="3" spans="1:8">
      <c r="A3" t="s">
        <v>140</v>
      </c>
      <c r="D3" t="s">
        <v>268</v>
      </c>
    </row>
    <row r="4" spans="1:8">
      <c r="A4" t="s">
        <v>142</v>
      </c>
      <c r="D4" t="s">
        <v>143</v>
      </c>
    </row>
    <row r="5" spans="1:8">
      <c r="A5" t="s">
        <v>144</v>
      </c>
      <c r="E5" t="s">
        <v>145</v>
      </c>
      <c r="F5" t="s">
        <v>146</v>
      </c>
    </row>
    <row r="6" spans="1:8">
      <c r="A6" t="s">
        <v>147</v>
      </c>
    </row>
    <row r="7" spans="1:8">
      <c r="A7" t="s">
        <v>127</v>
      </c>
      <c r="B7" t="s">
        <v>128</v>
      </c>
      <c r="C7" t="s">
        <v>129</v>
      </c>
      <c r="D7" t="s">
        <v>130</v>
      </c>
      <c r="E7" t="s">
        <v>131</v>
      </c>
      <c r="F7" t="s">
        <v>132</v>
      </c>
      <c r="G7" t="s">
        <v>133</v>
      </c>
    </row>
    <row r="10" spans="1:8">
      <c r="A10" t="s">
        <v>269</v>
      </c>
      <c r="B10">
        <v>0</v>
      </c>
      <c r="C10">
        <v>0</v>
      </c>
      <c r="D10">
        <v>0</v>
      </c>
      <c r="E10" s="61"/>
      <c r="F10">
        <v>50</v>
      </c>
      <c r="G10">
        <v>10.91</v>
      </c>
    </row>
    <row r="11" spans="1:8">
      <c r="A11" t="s">
        <v>270</v>
      </c>
      <c r="B11" s="15">
        <v>2000</v>
      </c>
      <c r="C11" s="15">
        <v>2000</v>
      </c>
      <c r="D11">
        <v>2000</v>
      </c>
      <c r="E11" s="61"/>
      <c r="F11">
        <v>500</v>
      </c>
      <c r="G11">
        <v>0.1477</v>
      </c>
      <c r="H11" s="55"/>
    </row>
    <row r="12" spans="1:8">
      <c r="A12" t="s">
        <v>271</v>
      </c>
      <c r="B12">
        <v>0</v>
      </c>
      <c r="C12">
        <v>0</v>
      </c>
      <c r="D12">
        <v>0</v>
      </c>
      <c r="E12" s="61"/>
      <c r="F12">
        <v>50</v>
      </c>
      <c r="G12">
        <v>5.5682</v>
      </c>
      <c r="H12" s="55"/>
    </row>
    <row r="13" spans="1:8">
      <c r="A13" t="s">
        <v>272</v>
      </c>
      <c r="B13">
        <v>200</v>
      </c>
      <c r="C13">
        <v>200</v>
      </c>
      <c r="D13">
        <v>200</v>
      </c>
      <c r="E13" s="61"/>
      <c r="F13">
        <v>100</v>
      </c>
      <c r="G13">
        <v>1.9204000000000001</v>
      </c>
      <c r="H13" s="55"/>
    </row>
    <row r="14" spans="1:8">
      <c r="A14" t="s">
        <v>273</v>
      </c>
      <c r="B14" s="15">
        <v>40000</v>
      </c>
      <c r="C14" s="15">
        <v>40000</v>
      </c>
      <c r="D14">
        <v>40000</v>
      </c>
      <c r="E14" s="61"/>
      <c r="F14">
        <v>500</v>
      </c>
      <c r="G14">
        <v>2.63E-2</v>
      </c>
      <c r="H14" s="55"/>
    </row>
    <row r="15" spans="1:8">
      <c r="A15" t="s">
        <v>274</v>
      </c>
      <c r="B15" s="15">
        <v>5000</v>
      </c>
      <c r="C15" s="15">
        <v>5000</v>
      </c>
      <c r="D15">
        <v>5000</v>
      </c>
      <c r="E15" s="61"/>
      <c r="F15">
        <v>500</v>
      </c>
      <c r="G15">
        <v>3.5099999999999999E-2</v>
      </c>
      <c r="H15" s="55"/>
    </row>
    <row r="16" spans="1:8">
      <c r="A16" t="s">
        <v>275</v>
      </c>
      <c r="B16">
        <v>400</v>
      </c>
      <c r="C16">
        <v>400</v>
      </c>
      <c r="D16">
        <v>400</v>
      </c>
      <c r="E16" s="61"/>
      <c r="F16">
        <v>60</v>
      </c>
      <c r="G16">
        <v>1.0889</v>
      </c>
      <c r="H16" s="55"/>
    </row>
    <row r="17" spans="1:8">
      <c r="A17" t="s">
        <v>276</v>
      </c>
      <c r="B17" s="15">
        <v>1000</v>
      </c>
      <c r="C17" s="15">
        <v>1000</v>
      </c>
      <c r="D17">
        <v>1000</v>
      </c>
      <c r="E17" s="61"/>
      <c r="F17">
        <v>100</v>
      </c>
      <c r="G17">
        <v>0.41360000000000002</v>
      </c>
      <c r="H17" s="55"/>
    </row>
    <row r="18" spans="1:8">
      <c r="A18" t="s">
        <v>277</v>
      </c>
      <c r="B18" s="15">
        <v>2000</v>
      </c>
      <c r="C18" s="15">
        <v>2000</v>
      </c>
      <c r="D18">
        <v>2000</v>
      </c>
      <c r="E18" s="61"/>
      <c r="F18">
        <v>30</v>
      </c>
      <c r="G18">
        <v>0.10050000000000001</v>
      </c>
      <c r="H18" s="55"/>
    </row>
    <row r="19" spans="1:8">
      <c r="A19" t="s">
        <v>278</v>
      </c>
      <c r="B19" s="15">
        <v>1000</v>
      </c>
      <c r="C19" s="15">
        <v>1000</v>
      </c>
      <c r="D19">
        <v>1000</v>
      </c>
      <c r="E19" s="61"/>
      <c r="F19">
        <v>30</v>
      </c>
      <c r="G19">
        <v>0.18609999999999999</v>
      </c>
      <c r="H19" s="55"/>
    </row>
    <row r="20" spans="1:8">
      <c r="A20" t="s">
        <v>279</v>
      </c>
      <c r="B20">
        <v>240</v>
      </c>
      <c r="C20">
        <v>240</v>
      </c>
      <c r="D20">
        <v>240</v>
      </c>
      <c r="E20" s="61"/>
      <c r="F20">
        <v>100</v>
      </c>
      <c r="G20">
        <v>0.71950000000000003</v>
      </c>
      <c r="H20" s="55"/>
    </row>
    <row r="21" spans="1:8">
      <c r="A21" t="s">
        <v>280</v>
      </c>
      <c r="B21">
        <v>0</v>
      </c>
      <c r="C21">
        <v>0</v>
      </c>
      <c r="D21">
        <v>0</v>
      </c>
      <c r="E21" s="61"/>
      <c r="F21">
        <v>1</v>
      </c>
      <c r="G21">
        <v>15.93</v>
      </c>
      <c r="H21" s="55"/>
    </row>
    <row r="22" spans="1:8">
      <c r="A22" t="s">
        <v>281</v>
      </c>
      <c r="B22">
        <v>200</v>
      </c>
      <c r="C22">
        <v>200</v>
      </c>
      <c r="D22">
        <v>200</v>
      </c>
      <c r="E22" s="61"/>
      <c r="F22">
        <v>1</v>
      </c>
      <c r="G22">
        <v>13.2</v>
      </c>
      <c r="H22" s="55"/>
    </row>
    <row r="23" spans="1:8">
      <c r="A23" t="s">
        <v>282</v>
      </c>
      <c r="B23">
        <v>200</v>
      </c>
      <c r="C23">
        <v>200</v>
      </c>
      <c r="D23">
        <v>200</v>
      </c>
      <c r="E23" s="61"/>
      <c r="F23">
        <v>1</v>
      </c>
      <c r="G23">
        <v>14.99</v>
      </c>
      <c r="H23" s="55"/>
    </row>
    <row r="24" spans="1:8">
      <c r="A24" t="s">
        <v>283</v>
      </c>
      <c r="B24">
        <v>0</v>
      </c>
      <c r="C24">
        <v>0</v>
      </c>
      <c r="D24">
        <v>0</v>
      </c>
      <c r="E24" s="61"/>
      <c r="F24">
        <v>1</v>
      </c>
      <c r="G24">
        <v>15.95</v>
      </c>
      <c r="H24" s="55"/>
    </row>
    <row r="25" spans="1:8">
      <c r="A25" t="s">
        <v>284</v>
      </c>
      <c r="B25">
        <v>300</v>
      </c>
      <c r="C25">
        <v>300</v>
      </c>
      <c r="D25">
        <v>300</v>
      </c>
      <c r="E25" s="61"/>
      <c r="F25">
        <v>50</v>
      </c>
      <c r="G25">
        <v>5.2</v>
      </c>
      <c r="H25" s="55"/>
    </row>
    <row r="26" spans="1:8">
      <c r="A26" t="s">
        <v>285</v>
      </c>
      <c r="B26">
        <v>100</v>
      </c>
      <c r="C26">
        <v>100</v>
      </c>
      <c r="D26">
        <v>100</v>
      </c>
      <c r="E26" s="61"/>
      <c r="F26">
        <v>50</v>
      </c>
      <c r="G26">
        <v>9.9329000000000001</v>
      </c>
      <c r="H26" s="55"/>
    </row>
    <row r="27" spans="1:8">
      <c r="A27" t="s">
        <v>286</v>
      </c>
      <c r="B27">
        <v>0</v>
      </c>
      <c r="C27">
        <v>0</v>
      </c>
      <c r="D27">
        <v>0</v>
      </c>
      <c r="E27" s="61"/>
      <c r="F27">
        <v>50</v>
      </c>
      <c r="G27">
        <v>10.4878</v>
      </c>
      <c r="H27" s="55"/>
    </row>
    <row r="28" spans="1:8">
      <c r="A28" t="s">
        <v>287</v>
      </c>
      <c r="B28">
        <v>0</v>
      </c>
      <c r="C28">
        <v>0</v>
      </c>
      <c r="D28">
        <v>0</v>
      </c>
      <c r="E28" s="61"/>
      <c r="F28">
        <v>100</v>
      </c>
      <c r="G28">
        <v>6.1938000000000004</v>
      </c>
      <c r="H28" s="55"/>
    </row>
    <row r="29" spans="1:8">
      <c r="A29" t="s">
        <v>288</v>
      </c>
      <c r="B29">
        <v>0</v>
      </c>
      <c r="C29">
        <v>0</v>
      </c>
      <c r="D29">
        <v>0</v>
      </c>
      <c r="E29" s="61"/>
      <c r="F29">
        <v>1</v>
      </c>
      <c r="G29">
        <v>5.1135999999999999</v>
      </c>
      <c r="H29" s="55"/>
    </row>
    <row r="30" spans="1:8">
      <c r="A30" t="s">
        <v>289</v>
      </c>
      <c r="B30">
        <v>100</v>
      </c>
      <c r="C30">
        <v>100</v>
      </c>
      <c r="D30">
        <v>100</v>
      </c>
      <c r="E30" s="61"/>
      <c r="F30">
        <v>1</v>
      </c>
      <c r="G30">
        <v>5.1877000000000004</v>
      </c>
      <c r="H30" s="55"/>
    </row>
    <row r="31" spans="1:8">
      <c r="A31" t="s">
        <v>290</v>
      </c>
      <c r="B31">
        <v>200</v>
      </c>
      <c r="C31">
        <v>200</v>
      </c>
      <c r="D31">
        <v>200</v>
      </c>
      <c r="E31" s="61"/>
      <c r="F31">
        <v>200</v>
      </c>
      <c r="G31">
        <v>0.8296</v>
      </c>
      <c r="H31" s="55"/>
    </row>
    <row r="32" spans="1:8">
      <c r="A32" t="s">
        <v>291</v>
      </c>
      <c r="B32">
        <v>200</v>
      </c>
      <c r="C32">
        <v>200</v>
      </c>
      <c r="D32">
        <v>200</v>
      </c>
      <c r="E32" s="61"/>
      <c r="F32">
        <v>1</v>
      </c>
      <c r="G32">
        <v>9.1</v>
      </c>
      <c r="H32" s="55"/>
    </row>
    <row r="33" spans="1:8">
      <c r="A33" t="s">
        <v>292</v>
      </c>
      <c r="B33">
        <v>0</v>
      </c>
      <c r="C33">
        <v>0</v>
      </c>
      <c r="D33">
        <v>0</v>
      </c>
      <c r="E33" s="61"/>
      <c r="F33">
        <v>1</v>
      </c>
      <c r="G33">
        <v>12.329499999999999</v>
      </c>
      <c r="H33" s="55"/>
    </row>
    <row r="34" spans="1:8">
      <c r="A34" t="s">
        <v>293</v>
      </c>
      <c r="B34">
        <v>0</v>
      </c>
      <c r="C34">
        <v>0</v>
      </c>
      <c r="D34">
        <v>0</v>
      </c>
      <c r="E34" s="61"/>
      <c r="F34">
        <v>10</v>
      </c>
      <c r="G34">
        <v>23.6</v>
      </c>
      <c r="H34" s="55"/>
    </row>
    <row r="35" spans="1:8">
      <c r="A35" t="s">
        <v>294</v>
      </c>
      <c r="B35">
        <v>0</v>
      </c>
      <c r="C35">
        <v>0</v>
      </c>
      <c r="D35">
        <v>0</v>
      </c>
      <c r="E35" s="61"/>
      <c r="F35">
        <v>25</v>
      </c>
      <c r="G35">
        <v>4.5568</v>
      </c>
      <c r="H35" s="55"/>
    </row>
    <row r="36" spans="1:8">
      <c r="A36" t="s">
        <v>295</v>
      </c>
      <c r="B36">
        <v>0</v>
      </c>
      <c r="C36">
        <v>0</v>
      </c>
      <c r="D36">
        <v>0</v>
      </c>
      <c r="E36" s="61"/>
      <c r="F36">
        <v>80</v>
      </c>
      <c r="G36">
        <v>5.1124999999999998</v>
      </c>
      <c r="H36" s="55"/>
    </row>
    <row r="37" spans="1:8">
      <c r="A37" t="s">
        <v>296</v>
      </c>
      <c r="B37">
        <v>0</v>
      </c>
      <c r="C37">
        <v>0</v>
      </c>
      <c r="D37">
        <v>0</v>
      </c>
      <c r="E37" s="61"/>
      <c r="F37">
        <v>50</v>
      </c>
      <c r="G37">
        <v>3.48</v>
      </c>
      <c r="H37" s="55"/>
    </row>
    <row r="38" spans="1:8">
      <c r="A38" t="s">
        <v>297</v>
      </c>
      <c r="B38">
        <v>200</v>
      </c>
      <c r="C38">
        <v>200</v>
      </c>
      <c r="D38">
        <v>200</v>
      </c>
      <c r="E38" s="61"/>
      <c r="F38">
        <v>200</v>
      </c>
      <c r="G38">
        <v>0.37680000000000002</v>
      </c>
      <c r="H38" s="55"/>
    </row>
    <row r="39" spans="1:8">
      <c r="A39" t="s">
        <v>298</v>
      </c>
      <c r="B39">
        <v>0</v>
      </c>
      <c r="C39">
        <v>0</v>
      </c>
      <c r="D39">
        <v>0</v>
      </c>
      <c r="E39" s="61"/>
      <c r="F39">
        <v>200</v>
      </c>
      <c r="G39">
        <v>0.37680000000000002</v>
      </c>
      <c r="H39" s="55"/>
    </row>
    <row r="40" spans="1:8">
      <c r="A40" t="s">
        <v>299</v>
      </c>
      <c r="B40">
        <v>200</v>
      </c>
      <c r="C40">
        <v>200</v>
      </c>
      <c r="D40">
        <v>200</v>
      </c>
      <c r="E40" s="61"/>
      <c r="F40">
        <v>1</v>
      </c>
      <c r="G40">
        <v>2.5</v>
      </c>
      <c r="H40" s="55"/>
    </row>
    <row r="41" spans="1:8">
      <c r="A41" t="s">
        <v>300</v>
      </c>
      <c r="B41">
        <v>0</v>
      </c>
      <c r="C41">
        <v>0</v>
      </c>
      <c r="D41">
        <v>0</v>
      </c>
      <c r="E41" s="61"/>
      <c r="F41">
        <v>60</v>
      </c>
      <c r="G41">
        <v>2.1476999999999999</v>
      </c>
      <c r="H41" s="55"/>
    </row>
    <row r="42" spans="1:8">
      <c r="A42" t="s">
        <v>301</v>
      </c>
      <c r="B42">
        <v>400</v>
      </c>
      <c r="C42">
        <v>400</v>
      </c>
      <c r="D42">
        <v>400</v>
      </c>
      <c r="E42" s="61"/>
      <c r="F42">
        <v>100</v>
      </c>
      <c r="G42">
        <v>1.4659</v>
      </c>
      <c r="H42" s="55"/>
    </row>
    <row r="43" spans="1:8">
      <c r="A43" t="s">
        <v>302</v>
      </c>
      <c r="B43">
        <v>0</v>
      </c>
      <c r="C43">
        <v>0</v>
      </c>
      <c r="D43">
        <v>0</v>
      </c>
      <c r="E43" s="61"/>
      <c r="F43">
        <v>1</v>
      </c>
      <c r="G43">
        <v>6.66</v>
      </c>
      <c r="H43" s="55"/>
    </row>
    <row r="44" spans="1:8">
      <c r="A44" t="s">
        <v>303</v>
      </c>
      <c r="B44" s="15">
        <v>1000</v>
      </c>
      <c r="C44" s="15">
        <v>1000</v>
      </c>
      <c r="D44">
        <v>1000</v>
      </c>
      <c r="E44" s="61"/>
      <c r="F44">
        <v>200</v>
      </c>
      <c r="G44">
        <v>0.13639999999999999</v>
      </c>
      <c r="H44" s="55"/>
    </row>
    <row r="45" spans="1:8">
      <c r="A45" t="s">
        <v>304</v>
      </c>
      <c r="B45">
        <v>600</v>
      </c>
      <c r="C45">
        <v>600</v>
      </c>
      <c r="D45">
        <v>600</v>
      </c>
      <c r="E45" s="61"/>
      <c r="F45">
        <v>50</v>
      </c>
      <c r="G45">
        <v>0.72499999999999998</v>
      </c>
      <c r="H45" s="55"/>
    </row>
    <row r="46" spans="1:8">
      <c r="A46" t="s">
        <v>305</v>
      </c>
      <c r="B46">
        <v>200</v>
      </c>
      <c r="C46">
        <v>200</v>
      </c>
      <c r="D46">
        <v>200</v>
      </c>
      <c r="E46" s="61"/>
      <c r="F46">
        <v>50</v>
      </c>
      <c r="G46">
        <v>1.6257999999999999</v>
      </c>
      <c r="H46" s="55"/>
    </row>
    <row r="47" spans="1:8">
      <c r="A47" t="s">
        <v>306</v>
      </c>
      <c r="B47" s="15">
        <v>1000</v>
      </c>
      <c r="C47" s="15">
        <v>1000</v>
      </c>
      <c r="D47">
        <v>1000</v>
      </c>
      <c r="E47" s="61"/>
      <c r="F47">
        <v>20</v>
      </c>
      <c r="G47">
        <v>3.6299999999999999E-2</v>
      </c>
      <c r="H47" s="55"/>
    </row>
    <row r="48" spans="1:8">
      <c r="A48" t="s">
        <v>307</v>
      </c>
      <c r="B48" s="15">
        <v>10000</v>
      </c>
      <c r="C48" s="15">
        <v>10000</v>
      </c>
      <c r="D48">
        <v>10000</v>
      </c>
      <c r="E48" s="61"/>
      <c r="F48">
        <v>200</v>
      </c>
      <c r="G48">
        <v>0.1113</v>
      </c>
      <c r="H48" s="55"/>
    </row>
    <row r="49" spans="1:8">
      <c r="A49" t="s">
        <v>308</v>
      </c>
      <c r="B49">
        <v>600</v>
      </c>
      <c r="C49">
        <v>600</v>
      </c>
      <c r="D49">
        <v>600</v>
      </c>
      <c r="E49" s="61"/>
      <c r="F49">
        <v>200</v>
      </c>
      <c r="G49">
        <v>1.9875</v>
      </c>
      <c r="H49" s="55"/>
    </row>
    <row r="50" spans="1:8">
      <c r="A50" t="s">
        <v>309</v>
      </c>
      <c r="B50" s="15">
        <v>1500</v>
      </c>
      <c r="C50" s="15">
        <v>1500</v>
      </c>
      <c r="D50">
        <v>1500</v>
      </c>
      <c r="E50" s="61"/>
      <c r="F50">
        <v>100</v>
      </c>
      <c r="G50">
        <v>0.48099999999999998</v>
      </c>
      <c r="H50" s="55"/>
    </row>
    <row r="51" spans="1:8">
      <c r="A51" t="s">
        <v>310</v>
      </c>
      <c r="B51">
        <v>100</v>
      </c>
      <c r="C51">
        <v>100</v>
      </c>
      <c r="D51">
        <v>100</v>
      </c>
      <c r="E51" s="61"/>
      <c r="F51">
        <v>10</v>
      </c>
      <c r="G51">
        <v>5.5568</v>
      </c>
      <c r="H51" s="55"/>
    </row>
    <row r="52" spans="1:8">
      <c r="A52" t="s">
        <v>311</v>
      </c>
      <c r="B52">
        <v>100</v>
      </c>
      <c r="C52">
        <v>100</v>
      </c>
      <c r="D52">
        <v>100</v>
      </c>
      <c r="E52" s="61"/>
      <c r="F52">
        <v>50</v>
      </c>
      <c r="G52">
        <v>2.8976999999999999</v>
      </c>
      <c r="H52" s="55"/>
    </row>
    <row r="53" spans="1:8">
      <c r="A53" t="s">
        <v>312</v>
      </c>
      <c r="B53">
        <v>100</v>
      </c>
      <c r="C53">
        <v>100</v>
      </c>
      <c r="D53">
        <v>100</v>
      </c>
      <c r="E53" s="61"/>
      <c r="F53">
        <v>100</v>
      </c>
      <c r="G53">
        <v>0.89600000000000002</v>
      </c>
      <c r="H53" s="55"/>
    </row>
    <row r="54" spans="1:8">
      <c r="A54" t="s">
        <v>313</v>
      </c>
      <c r="B54">
        <v>0</v>
      </c>
      <c r="C54">
        <v>0</v>
      </c>
      <c r="D54">
        <v>0</v>
      </c>
      <c r="E54" s="61"/>
      <c r="F54">
        <v>1</v>
      </c>
      <c r="G54">
        <v>26.91</v>
      </c>
      <c r="H54" s="55"/>
    </row>
    <row r="55" spans="1:8">
      <c r="A55" t="s">
        <v>314</v>
      </c>
      <c r="B55">
        <v>0</v>
      </c>
      <c r="C55">
        <v>0</v>
      </c>
      <c r="D55">
        <v>0</v>
      </c>
      <c r="E55" s="61"/>
      <c r="F55">
        <v>30</v>
      </c>
      <c r="G55">
        <v>0.79010000000000002</v>
      </c>
      <c r="H55" s="55"/>
    </row>
    <row r="56" spans="1:8">
      <c r="A56" t="s">
        <v>315</v>
      </c>
      <c r="B56">
        <v>0</v>
      </c>
      <c r="C56">
        <v>0</v>
      </c>
      <c r="D56">
        <v>0</v>
      </c>
      <c r="E56" s="61"/>
      <c r="F56">
        <v>1</v>
      </c>
      <c r="G56">
        <v>4.1900000000000004</v>
      </c>
      <c r="H56" s="55"/>
    </row>
    <row r="57" spans="1:8">
      <c r="A57" t="s">
        <v>316</v>
      </c>
      <c r="B57" s="15">
        <v>1000</v>
      </c>
      <c r="C57" s="15">
        <v>1000</v>
      </c>
      <c r="D57">
        <v>1000</v>
      </c>
      <c r="E57" s="61"/>
      <c r="F57">
        <v>100</v>
      </c>
      <c r="G57">
        <v>0.40239999999999998</v>
      </c>
      <c r="H57" s="55"/>
    </row>
    <row r="58" spans="1:8">
      <c r="A58" t="s">
        <v>317</v>
      </c>
      <c r="B58">
        <v>0</v>
      </c>
      <c r="C58">
        <v>0</v>
      </c>
      <c r="D58">
        <v>0</v>
      </c>
      <c r="E58" s="61"/>
      <c r="F58">
        <v>500</v>
      </c>
      <c r="G58">
        <v>2.12</v>
      </c>
      <c r="H58" s="55"/>
    </row>
    <row r="59" spans="1:8">
      <c r="A59" t="s">
        <v>318</v>
      </c>
      <c r="B59">
        <v>0</v>
      </c>
      <c r="C59">
        <v>0</v>
      </c>
      <c r="D59">
        <v>0</v>
      </c>
      <c r="E59" s="61"/>
      <c r="F59">
        <v>24</v>
      </c>
      <c r="G59">
        <v>7.5812999999999997</v>
      </c>
      <c r="H59" s="55"/>
    </row>
    <row r="60" spans="1:8">
      <c r="A60" t="s">
        <v>319</v>
      </c>
      <c r="B60">
        <v>0</v>
      </c>
      <c r="C60">
        <v>0</v>
      </c>
      <c r="D60">
        <v>0</v>
      </c>
      <c r="E60" s="61"/>
      <c r="F60">
        <v>1</v>
      </c>
      <c r="G60">
        <v>4.5</v>
      </c>
      <c r="H60" s="55"/>
    </row>
    <row r="61" spans="1:8">
      <c r="A61" t="s">
        <v>320</v>
      </c>
      <c r="B61">
        <v>200</v>
      </c>
      <c r="C61">
        <v>200</v>
      </c>
      <c r="D61">
        <v>200</v>
      </c>
      <c r="E61" s="61"/>
      <c r="F61">
        <v>1</v>
      </c>
      <c r="G61">
        <v>4.7317</v>
      </c>
      <c r="H61" s="55"/>
    </row>
    <row r="62" spans="1:8">
      <c r="A62" t="s">
        <v>321</v>
      </c>
      <c r="B62" s="15">
        <v>2000</v>
      </c>
      <c r="C62" s="15">
        <v>2000</v>
      </c>
      <c r="D62">
        <v>2000</v>
      </c>
      <c r="E62" s="61"/>
      <c r="F62">
        <v>100</v>
      </c>
      <c r="G62">
        <v>0.74</v>
      </c>
      <c r="H62" s="55"/>
    </row>
    <row r="63" spans="1:8">
      <c r="A63" t="s">
        <v>322</v>
      </c>
      <c r="B63">
        <v>0</v>
      </c>
      <c r="C63">
        <v>0</v>
      </c>
      <c r="D63">
        <v>0</v>
      </c>
      <c r="E63" s="61"/>
      <c r="F63">
        <v>50</v>
      </c>
      <c r="G63">
        <v>1.9882</v>
      </c>
      <c r="H63" s="55"/>
    </row>
    <row r="64" spans="1:8">
      <c r="A64" t="s">
        <v>323</v>
      </c>
      <c r="B64">
        <v>0</v>
      </c>
      <c r="C64">
        <v>0</v>
      </c>
      <c r="D64">
        <v>0</v>
      </c>
      <c r="E64" s="61"/>
      <c r="F64">
        <v>1</v>
      </c>
      <c r="G64">
        <v>7.4390000000000001</v>
      </c>
      <c r="H64" s="55"/>
    </row>
    <row r="65" spans="1:8">
      <c r="A65" t="s">
        <v>324</v>
      </c>
      <c r="B65">
        <v>200</v>
      </c>
      <c r="C65">
        <v>200</v>
      </c>
      <c r="D65">
        <v>200</v>
      </c>
      <c r="E65" s="61"/>
      <c r="F65">
        <v>50</v>
      </c>
      <c r="G65">
        <v>2.6909000000000001</v>
      </c>
      <c r="H65" s="55"/>
    </row>
    <row r="66" spans="1:8">
      <c r="A66" t="s">
        <v>325</v>
      </c>
      <c r="B66">
        <v>600</v>
      </c>
      <c r="C66">
        <v>600</v>
      </c>
      <c r="D66">
        <v>600</v>
      </c>
      <c r="E66" s="61"/>
      <c r="F66">
        <v>50</v>
      </c>
      <c r="G66">
        <v>4.4204999999999997</v>
      </c>
      <c r="H66" s="55"/>
    </row>
    <row r="67" spans="1:8">
      <c r="A67" t="s">
        <v>326</v>
      </c>
      <c r="B67">
        <v>0</v>
      </c>
      <c r="C67">
        <v>0</v>
      </c>
      <c r="D67">
        <v>0</v>
      </c>
      <c r="E67" s="61"/>
      <c r="F67">
        <v>500</v>
      </c>
      <c r="G67">
        <v>9.7900000000000001E-2</v>
      </c>
      <c r="H67" s="55"/>
    </row>
    <row r="68" spans="1:8">
      <c r="A68" t="s">
        <v>327</v>
      </c>
      <c r="B68">
        <v>400</v>
      </c>
      <c r="C68">
        <v>400</v>
      </c>
      <c r="D68">
        <v>400</v>
      </c>
      <c r="E68" s="61"/>
      <c r="F68">
        <v>100</v>
      </c>
      <c r="G68">
        <v>1.7517</v>
      </c>
      <c r="H68" s="55"/>
    </row>
    <row r="69" spans="1:8">
      <c r="A69" t="s">
        <v>328</v>
      </c>
      <c r="B69" s="15">
        <v>5000</v>
      </c>
      <c r="C69" s="15">
        <v>5000</v>
      </c>
      <c r="D69">
        <v>5000</v>
      </c>
      <c r="E69" s="61"/>
      <c r="F69">
        <v>500</v>
      </c>
      <c r="G69">
        <v>0.1193</v>
      </c>
      <c r="H69" s="55"/>
    </row>
    <row r="70" spans="1:8">
      <c r="A70" t="s">
        <v>329</v>
      </c>
      <c r="B70">
        <v>0</v>
      </c>
      <c r="C70">
        <v>0</v>
      </c>
      <c r="D70">
        <v>0</v>
      </c>
      <c r="E70" s="61"/>
      <c r="F70">
        <v>12</v>
      </c>
      <c r="G70">
        <v>4.4474999999999998</v>
      </c>
      <c r="H70" s="55"/>
    </row>
    <row r="71" spans="1:8">
      <c r="A71" t="s">
        <v>330</v>
      </c>
      <c r="B71">
        <v>200</v>
      </c>
      <c r="C71">
        <v>200</v>
      </c>
      <c r="D71">
        <v>200</v>
      </c>
      <c r="E71" s="61"/>
      <c r="F71">
        <v>200</v>
      </c>
      <c r="G71">
        <v>0.88</v>
      </c>
      <c r="H71" s="55"/>
    </row>
    <row r="72" spans="1:8">
      <c r="A72" t="s">
        <v>331</v>
      </c>
      <c r="B72">
        <v>0</v>
      </c>
      <c r="C72">
        <v>0</v>
      </c>
      <c r="D72">
        <v>0</v>
      </c>
      <c r="E72" s="61"/>
      <c r="F72">
        <v>15</v>
      </c>
      <c r="G72">
        <v>0.73299999999999998</v>
      </c>
      <c r="H72" s="55"/>
    </row>
    <row r="73" spans="1:8">
      <c r="A73" t="s">
        <v>332</v>
      </c>
      <c r="B73">
        <v>0</v>
      </c>
      <c r="C73">
        <v>0</v>
      </c>
      <c r="D73">
        <v>0</v>
      </c>
      <c r="E73" s="61"/>
      <c r="F73">
        <v>4</v>
      </c>
      <c r="G73">
        <v>0.17069999999999999</v>
      </c>
      <c r="H73" s="55"/>
    </row>
    <row r="74" spans="1:8">
      <c r="A74" t="s">
        <v>333</v>
      </c>
      <c r="B74">
        <v>0</v>
      </c>
      <c r="C74">
        <v>0</v>
      </c>
      <c r="D74">
        <v>0</v>
      </c>
      <c r="E74" s="61"/>
      <c r="F74">
        <v>21</v>
      </c>
      <c r="G74">
        <v>7.3999999999999996E-2</v>
      </c>
      <c r="H74" s="55"/>
    </row>
    <row r="75" spans="1:8">
      <c r="A75" t="s">
        <v>334</v>
      </c>
      <c r="B75">
        <v>0</v>
      </c>
      <c r="C75">
        <v>0</v>
      </c>
      <c r="D75">
        <v>0</v>
      </c>
      <c r="E75" s="61"/>
      <c r="F75">
        <v>25</v>
      </c>
      <c r="G75">
        <v>4.3902000000000001</v>
      </c>
      <c r="H75" s="55"/>
    </row>
    <row r="76" spans="1:8">
      <c r="A76" t="s">
        <v>335</v>
      </c>
      <c r="B76">
        <v>0</v>
      </c>
      <c r="C76">
        <v>0</v>
      </c>
      <c r="D76">
        <v>0</v>
      </c>
      <c r="E76" s="61"/>
      <c r="F76">
        <v>1</v>
      </c>
      <c r="G76">
        <v>31.49</v>
      </c>
      <c r="H76" s="55"/>
    </row>
    <row r="77" spans="1:8">
      <c r="A77" t="s">
        <v>336</v>
      </c>
      <c r="B77">
        <v>200</v>
      </c>
      <c r="C77">
        <v>200</v>
      </c>
      <c r="D77">
        <v>200</v>
      </c>
      <c r="E77" s="61"/>
      <c r="F77">
        <v>50</v>
      </c>
      <c r="G77">
        <v>3.7170999999999998</v>
      </c>
      <c r="H77" s="55"/>
    </row>
    <row r="78" spans="1:8">
      <c r="A78" t="s">
        <v>337</v>
      </c>
      <c r="B78">
        <v>100</v>
      </c>
      <c r="C78">
        <v>100</v>
      </c>
      <c r="D78">
        <v>100</v>
      </c>
      <c r="E78" s="61"/>
      <c r="F78">
        <v>25</v>
      </c>
      <c r="G78">
        <v>3.5114000000000001</v>
      </c>
      <c r="H78" s="55"/>
    </row>
    <row r="79" spans="1:8">
      <c r="A79" t="s">
        <v>338</v>
      </c>
      <c r="B79">
        <v>0</v>
      </c>
      <c r="C79">
        <v>0</v>
      </c>
      <c r="D79">
        <v>0</v>
      </c>
      <c r="E79" s="61"/>
      <c r="F79">
        <v>50</v>
      </c>
      <c r="G79">
        <v>5.92</v>
      </c>
      <c r="H79" s="55"/>
    </row>
    <row r="80" spans="1:8">
      <c r="A80" t="s">
        <v>339</v>
      </c>
      <c r="B80">
        <v>200</v>
      </c>
      <c r="C80">
        <v>200</v>
      </c>
      <c r="D80">
        <v>200</v>
      </c>
      <c r="E80" s="61"/>
      <c r="F80">
        <v>48</v>
      </c>
      <c r="G80">
        <v>2.419</v>
      </c>
      <c r="H80" s="55"/>
    </row>
    <row r="81" spans="1:8">
      <c r="A81" t="s">
        <v>340</v>
      </c>
      <c r="B81" s="15">
        <v>1000</v>
      </c>
      <c r="C81" s="15">
        <v>1000</v>
      </c>
      <c r="D81">
        <v>1000</v>
      </c>
      <c r="E81" s="61"/>
      <c r="F81">
        <v>360</v>
      </c>
      <c r="G81">
        <v>5.2999999999999999E-2</v>
      </c>
      <c r="H81" s="55"/>
    </row>
    <row r="82" spans="1:8">
      <c r="A82" t="s">
        <v>341</v>
      </c>
      <c r="B82">
        <v>0</v>
      </c>
      <c r="C82">
        <v>0</v>
      </c>
      <c r="D82">
        <v>0</v>
      </c>
      <c r="E82" s="61"/>
      <c r="F82">
        <v>1</v>
      </c>
      <c r="G82">
        <v>5.88</v>
      </c>
      <c r="H82" s="55"/>
    </row>
    <row r="83" spans="1:8">
      <c r="A83" t="s">
        <v>342</v>
      </c>
      <c r="B83" s="15">
        <v>2000</v>
      </c>
      <c r="C83" s="15">
        <v>2000</v>
      </c>
      <c r="D83">
        <v>2000</v>
      </c>
      <c r="E83" s="61"/>
      <c r="F83">
        <v>500</v>
      </c>
      <c r="G83">
        <v>4.9099999999999998E-2</v>
      </c>
      <c r="H83" s="55"/>
    </row>
    <row r="84" spans="1:8">
      <c r="A84" t="s">
        <v>343</v>
      </c>
      <c r="B84">
        <v>600</v>
      </c>
      <c r="C84">
        <v>600</v>
      </c>
      <c r="D84">
        <v>600</v>
      </c>
      <c r="E84" s="61"/>
      <c r="F84">
        <v>100</v>
      </c>
      <c r="G84">
        <v>0.56759999999999999</v>
      </c>
      <c r="H84" s="55"/>
    </row>
    <row r="85" spans="1:8">
      <c r="A85" t="s">
        <v>344</v>
      </c>
      <c r="B85">
        <v>200</v>
      </c>
      <c r="C85">
        <v>200</v>
      </c>
      <c r="D85">
        <v>200</v>
      </c>
      <c r="E85" s="61"/>
      <c r="F85">
        <v>50</v>
      </c>
      <c r="G85">
        <v>5.2439</v>
      </c>
      <c r="H85" s="55"/>
    </row>
    <row r="86" spans="1:8">
      <c r="A86" t="s">
        <v>345</v>
      </c>
      <c r="B86" s="15">
        <v>2000</v>
      </c>
      <c r="C86" s="15">
        <v>2000</v>
      </c>
      <c r="D86">
        <v>2000</v>
      </c>
      <c r="E86" s="61"/>
      <c r="F86">
        <v>20</v>
      </c>
      <c r="G86">
        <v>0.17069999999999999</v>
      </c>
      <c r="H86" s="55"/>
    </row>
    <row r="87" spans="1:8">
      <c r="A87" t="s">
        <v>346</v>
      </c>
      <c r="B87">
        <v>0</v>
      </c>
      <c r="C87">
        <v>0</v>
      </c>
      <c r="D87">
        <v>0</v>
      </c>
      <c r="E87" s="61"/>
      <c r="F87">
        <v>20</v>
      </c>
      <c r="G87">
        <v>0.34749999999999998</v>
      </c>
      <c r="H87" s="55"/>
    </row>
    <row r="88" spans="1:8">
      <c r="A88" t="s">
        <v>347</v>
      </c>
      <c r="B88">
        <v>0</v>
      </c>
      <c r="C88">
        <v>0</v>
      </c>
      <c r="D88">
        <v>0</v>
      </c>
      <c r="E88" s="61"/>
      <c r="F88">
        <v>50</v>
      </c>
      <c r="G88">
        <v>48.5</v>
      </c>
      <c r="H88" s="55"/>
    </row>
    <row r="89" spans="1:8">
      <c r="A89" t="s">
        <v>348</v>
      </c>
      <c r="B89">
        <v>0</v>
      </c>
      <c r="C89">
        <v>0</v>
      </c>
      <c r="D89">
        <v>0</v>
      </c>
      <c r="E89" s="61"/>
      <c r="F89">
        <v>100</v>
      </c>
      <c r="G89">
        <v>11.0244</v>
      </c>
      <c r="H89" s="55"/>
    </row>
    <row r="90" spans="1:8">
      <c r="A90" t="s">
        <v>349</v>
      </c>
      <c r="B90">
        <v>0</v>
      </c>
      <c r="C90">
        <v>0</v>
      </c>
      <c r="D90">
        <v>0</v>
      </c>
      <c r="E90" s="61"/>
      <c r="F90">
        <v>1</v>
      </c>
      <c r="G90">
        <v>4.7473000000000001</v>
      </c>
      <c r="H90" s="55"/>
    </row>
    <row r="91" spans="1:8">
      <c r="A91" t="s">
        <v>350</v>
      </c>
      <c r="B91">
        <v>100</v>
      </c>
      <c r="C91">
        <v>100</v>
      </c>
      <c r="D91">
        <v>100</v>
      </c>
      <c r="E91" s="61"/>
      <c r="F91">
        <v>50</v>
      </c>
      <c r="G91">
        <v>0.88470000000000004</v>
      </c>
      <c r="H91" s="55"/>
    </row>
    <row r="92" spans="1:8">
      <c r="A92" t="s">
        <v>351</v>
      </c>
      <c r="B92">
        <v>0</v>
      </c>
      <c r="C92">
        <v>0</v>
      </c>
      <c r="D92">
        <v>0</v>
      </c>
      <c r="E92" s="61"/>
      <c r="F92">
        <v>35</v>
      </c>
      <c r="G92">
        <v>0.19</v>
      </c>
      <c r="H92" s="55"/>
    </row>
    <row r="93" spans="1:8">
      <c r="A93" t="s">
        <v>352</v>
      </c>
      <c r="B93" s="15">
        <v>5000</v>
      </c>
      <c r="C93" s="15">
        <v>5000</v>
      </c>
      <c r="D93">
        <v>5000</v>
      </c>
      <c r="E93" s="61"/>
      <c r="F93">
        <v>500</v>
      </c>
      <c r="G93">
        <v>5.6099999999999997E-2</v>
      </c>
      <c r="H93" s="55"/>
    </row>
    <row r="94" spans="1:8">
      <c r="A94" t="s">
        <v>353</v>
      </c>
      <c r="B94">
        <v>0</v>
      </c>
      <c r="C94">
        <v>0</v>
      </c>
      <c r="D94">
        <v>0</v>
      </c>
      <c r="E94" s="61"/>
      <c r="F94">
        <v>50</v>
      </c>
      <c r="G94">
        <v>2.0969000000000002</v>
      </c>
      <c r="H94" s="55"/>
    </row>
    <row r="95" spans="1:8">
      <c r="A95" t="s">
        <v>354</v>
      </c>
      <c r="B95">
        <v>0</v>
      </c>
      <c r="C95">
        <v>0</v>
      </c>
      <c r="D95">
        <v>0</v>
      </c>
      <c r="E95" s="61"/>
      <c r="F95">
        <v>50</v>
      </c>
      <c r="G95">
        <v>3.0363000000000002</v>
      </c>
      <c r="H95" s="55"/>
    </row>
    <row r="96" spans="1:8">
      <c r="A96" t="s">
        <v>355</v>
      </c>
      <c r="B96">
        <v>0</v>
      </c>
      <c r="C96">
        <v>0</v>
      </c>
      <c r="D96">
        <v>0</v>
      </c>
      <c r="E96" s="61"/>
      <c r="F96">
        <v>1</v>
      </c>
      <c r="G96">
        <v>20.97</v>
      </c>
      <c r="H96" s="55"/>
    </row>
    <row r="97" spans="1:8">
      <c r="A97" t="s">
        <v>356</v>
      </c>
      <c r="B97">
        <v>200</v>
      </c>
      <c r="C97">
        <v>200</v>
      </c>
      <c r="D97">
        <v>200</v>
      </c>
      <c r="E97" s="61"/>
      <c r="F97">
        <v>50</v>
      </c>
      <c r="G97">
        <v>5.6818</v>
      </c>
      <c r="H97" s="55"/>
    </row>
    <row r="98" spans="1:8">
      <c r="A98" t="s">
        <v>357</v>
      </c>
      <c r="B98">
        <v>400</v>
      </c>
      <c r="C98">
        <v>400</v>
      </c>
      <c r="D98">
        <v>400</v>
      </c>
      <c r="E98" s="61"/>
      <c r="F98">
        <v>50</v>
      </c>
      <c r="G98">
        <v>3.7385999999999999</v>
      </c>
      <c r="H98" s="55"/>
    </row>
    <row r="99" spans="1:8">
      <c r="A99" t="s">
        <v>358</v>
      </c>
      <c r="B99" s="15">
        <v>8000</v>
      </c>
      <c r="C99" s="15">
        <v>8000</v>
      </c>
      <c r="D99">
        <v>8000</v>
      </c>
      <c r="E99" s="61"/>
      <c r="F99">
        <v>20</v>
      </c>
      <c r="G99">
        <v>0.1265</v>
      </c>
      <c r="H99" s="55"/>
    </row>
    <row r="100" spans="1:8">
      <c r="A100" t="s">
        <v>359</v>
      </c>
      <c r="B100" s="15">
        <v>5000</v>
      </c>
      <c r="C100" s="15">
        <v>5000</v>
      </c>
      <c r="D100">
        <v>5000</v>
      </c>
      <c r="E100" s="61"/>
      <c r="F100">
        <v>20</v>
      </c>
      <c r="G100">
        <v>5.1700000000000003E-2</v>
      </c>
      <c r="H100" s="55"/>
    </row>
    <row r="101" spans="1:8">
      <c r="A101" t="s">
        <v>360</v>
      </c>
      <c r="B101">
        <v>0</v>
      </c>
      <c r="C101">
        <v>0</v>
      </c>
      <c r="D101">
        <v>0</v>
      </c>
      <c r="E101" s="61"/>
      <c r="F101">
        <v>50</v>
      </c>
      <c r="G101">
        <v>3.9860000000000002</v>
      </c>
      <c r="H101" s="55"/>
    </row>
    <row r="102" spans="1:8">
      <c r="A102" t="s">
        <v>361</v>
      </c>
      <c r="B102" s="15">
        <v>8000</v>
      </c>
      <c r="C102" s="15">
        <v>8000</v>
      </c>
      <c r="D102">
        <v>8000</v>
      </c>
      <c r="E102" s="61"/>
      <c r="F102">
        <v>200</v>
      </c>
      <c r="G102">
        <v>0.1074</v>
      </c>
      <c r="H102" s="55"/>
    </row>
    <row r="103" spans="1:8">
      <c r="A103" t="s">
        <v>362</v>
      </c>
      <c r="B103">
        <v>500</v>
      </c>
      <c r="C103">
        <v>500</v>
      </c>
      <c r="D103">
        <v>500</v>
      </c>
      <c r="E103" s="61"/>
      <c r="F103">
        <v>100</v>
      </c>
      <c r="G103">
        <v>3.3780000000000001</v>
      </c>
      <c r="H103" s="55"/>
    </row>
    <row r="104" spans="1:8">
      <c r="A104" t="s">
        <v>363</v>
      </c>
      <c r="B104">
        <v>0</v>
      </c>
      <c r="C104">
        <v>0</v>
      </c>
      <c r="D104">
        <v>0</v>
      </c>
      <c r="E104" s="61"/>
      <c r="F104">
        <v>25</v>
      </c>
      <c r="G104">
        <v>3.7561</v>
      </c>
      <c r="H104" s="55"/>
    </row>
    <row r="105" spans="1:8">
      <c r="A105" t="s">
        <v>364</v>
      </c>
      <c r="B105">
        <v>100</v>
      </c>
      <c r="C105">
        <v>100</v>
      </c>
      <c r="D105">
        <v>100</v>
      </c>
      <c r="E105" s="61"/>
      <c r="F105">
        <v>20</v>
      </c>
      <c r="G105">
        <v>5.3658000000000001</v>
      </c>
      <c r="H105" s="55"/>
    </row>
    <row r="106" spans="1:8">
      <c r="A106" t="s">
        <v>365</v>
      </c>
      <c r="B106">
        <v>300</v>
      </c>
      <c r="C106">
        <v>300</v>
      </c>
      <c r="D106">
        <v>300</v>
      </c>
      <c r="E106" s="61"/>
      <c r="F106">
        <v>1</v>
      </c>
      <c r="G106">
        <v>8.81</v>
      </c>
      <c r="H106" s="55"/>
    </row>
    <row r="107" spans="1:8">
      <c r="A107" t="s">
        <v>366</v>
      </c>
      <c r="B107">
        <v>200</v>
      </c>
      <c r="C107">
        <v>200</v>
      </c>
      <c r="D107">
        <v>200</v>
      </c>
      <c r="E107" s="61"/>
      <c r="F107">
        <v>50</v>
      </c>
      <c r="G107">
        <v>5.5975000000000001</v>
      </c>
      <c r="H107" s="55"/>
    </row>
    <row r="108" spans="1:8">
      <c r="A108" t="s">
        <v>367</v>
      </c>
      <c r="B108">
        <v>0</v>
      </c>
      <c r="C108">
        <v>0</v>
      </c>
      <c r="D108">
        <v>0</v>
      </c>
      <c r="E108" s="61"/>
      <c r="F108">
        <v>1</v>
      </c>
      <c r="G108">
        <v>6.1463000000000001</v>
      </c>
      <c r="H108" s="55"/>
    </row>
    <row r="109" spans="1:8">
      <c r="A109" t="s">
        <v>368</v>
      </c>
      <c r="B109">
        <v>0</v>
      </c>
      <c r="C109">
        <v>0</v>
      </c>
      <c r="D109">
        <v>0</v>
      </c>
      <c r="E109" s="61"/>
      <c r="F109">
        <v>50</v>
      </c>
      <c r="G109">
        <v>8.67</v>
      </c>
      <c r="H109" s="55"/>
    </row>
    <row r="110" spans="1:8">
      <c r="A110" t="s">
        <v>369</v>
      </c>
      <c r="B110">
        <v>0</v>
      </c>
      <c r="C110">
        <v>0</v>
      </c>
      <c r="D110">
        <v>0</v>
      </c>
      <c r="E110" s="61"/>
      <c r="F110">
        <v>100</v>
      </c>
      <c r="G110">
        <v>0.52439999999999998</v>
      </c>
      <c r="H110" s="55"/>
    </row>
    <row r="111" spans="1:8">
      <c r="A111" t="s">
        <v>370</v>
      </c>
      <c r="B111">
        <v>0</v>
      </c>
      <c r="C111">
        <v>0</v>
      </c>
      <c r="D111">
        <v>0</v>
      </c>
      <c r="E111" s="61"/>
      <c r="F111">
        <v>100</v>
      </c>
      <c r="G111">
        <v>0.2828</v>
      </c>
      <c r="H111" s="55"/>
    </row>
    <row r="112" spans="1:8">
      <c r="A112" t="s">
        <v>371</v>
      </c>
      <c r="B112" s="15">
        <v>1000</v>
      </c>
      <c r="C112" s="15">
        <v>1000</v>
      </c>
      <c r="D112">
        <v>1000</v>
      </c>
      <c r="E112" s="61"/>
      <c r="F112">
        <v>600</v>
      </c>
      <c r="G112">
        <v>0.23169999999999999</v>
      </c>
      <c r="H112" s="55"/>
    </row>
    <row r="113" spans="1:8">
      <c r="A113" t="s">
        <v>372</v>
      </c>
      <c r="B113">
        <v>0</v>
      </c>
      <c r="C113">
        <v>0</v>
      </c>
      <c r="D113">
        <v>0</v>
      </c>
      <c r="E113" s="61"/>
      <c r="F113">
        <v>1</v>
      </c>
      <c r="G113">
        <v>1.6</v>
      </c>
      <c r="H113" s="55"/>
    </row>
    <row r="114" spans="1:8">
      <c r="A114" t="s">
        <v>373</v>
      </c>
      <c r="B114" s="15">
        <v>6000</v>
      </c>
      <c r="C114" s="15">
        <v>6000</v>
      </c>
      <c r="D114">
        <v>6000</v>
      </c>
      <c r="E114" s="61"/>
      <c r="F114">
        <v>200</v>
      </c>
      <c r="G114">
        <v>0.1532</v>
      </c>
      <c r="H114" s="55"/>
    </row>
    <row r="115" spans="1:8">
      <c r="A115" t="s">
        <v>374</v>
      </c>
      <c r="B115">
        <v>0</v>
      </c>
      <c r="C115">
        <v>0</v>
      </c>
      <c r="D115">
        <v>0</v>
      </c>
      <c r="E115" s="61"/>
      <c r="F115">
        <v>200</v>
      </c>
      <c r="G115">
        <v>0.14149999999999999</v>
      </c>
      <c r="H115" s="55"/>
    </row>
    <row r="116" spans="1:8">
      <c r="A116" t="s">
        <v>375</v>
      </c>
      <c r="B116">
        <v>0</v>
      </c>
      <c r="C116">
        <v>0</v>
      </c>
      <c r="D116">
        <v>0</v>
      </c>
      <c r="E116" s="61"/>
      <c r="F116">
        <v>1</v>
      </c>
      <c r="G116">
        <v>2.2000000000000002</v>
      </c>
      <c r="H116" s="55"/>
    </row>
    <row r="117" spans="1:8">
      <c r="A117" t="s">
        <v>376</v>
      </c>
      <c r="B117">
        <v>0</v>
      </c>
      <c r="C117">
        <v>0</v>
      </c>
      <c r="D117">
        <v>0</v>
      </c>
      <c r="E117" s="61"/>
      <c r="F117">
        <v>24</v>
      </c>
      <c r="G117">
        <v>4.5853000000000002</v>
      </c>
      <c r="H117" s="55"/>
    </row>
    <row r="118" spans="1:8">
      <c r="A118" t="s">
        <v>265</v>
      </c>
    </row>
    <row r="122" spans="1:8">
      <c r="A122" t="s">
        <v>266</v>
      </c>
      <c r="B122" t="s">
        <v>267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9"/>
  <sheetViews>
    <sheetView topLeftCell="E1" workbookViewId="0">
      <selection activeCell="Q9" sqref="Q9"/>
    </sheetView>
  </sheetViews>
  <sheetFormatPr defaultRowHeight="15"/>
  <cols>
    <col min="2" max="2" width="9.140625" style="37"/>
    <col min="3" max="3" width="9.140625" style="60"/>
    <col min="5" max="5" width="63.140625" customWidth="1"/>
    <col min="6" max="6" width="10.5703125" style="54" bestFit="1" customWidth="1"/>
    <col min="7" max="7" width="13.140625" style="46" bestFit="1" customWidth="1"/>
  </cols>
  <sheetData>
    <row r="1" spans="1:7">
      <c r="A1" s="26" t="s">
        <v>377</v>
      </c>
      <c r="B1" s="40" t="s">
        <v>378</v>
      </c>
      <c r="C1" s="56"/>
      <c r="D1" s="28"/>
      <c r="E1" s="29"/>
      <c r="F1" s="47"/>
      <c r="G1" s="41"/>
    </row>
    <row r="2" spans="1:7">
      <c r="A2" s="30" t="s">
        <v>379</v>
      </c>
      <c r="B2" s="36" t="s">
        <v>380</v>
      </c>
      <c r="C2" s="57" t="s">
        <v>870</v>
      </c>
      <c r="D2" s="30" t="s">
        <v>381</v>
      </c>
      <c r="E2" s="30" t="s">
        <v>382</v>
      </c>
      <c r="F2" s="48" t="s">
        <v>383</v>
      </c>
      <c r="G2" s="42" t="s">
        <v>384</v>
      </c>
    </row>
    <row r="3" spans="1:7">
      <c r="A3" s="32" t="s">
        <v>385</v>
      </c>
      <c r="B3" s="35">
        <v>1000</v>
      </c>
      <c r="C3" s="58" t="e">
        <f>(B3-#REF!-#REF!-#REF!-#REF!-#REF!)</f>
        <v>#REF!</v>
      </c>
      <c r="D3" s="32" t="s">
        <v>386</v>
      </c>
      <c r="E3" s="63" t="s">
        <v>872</v>
      </c>
      <c r="F3" s="49">
        <v>0.1898</v>
      </c>
      <c r="G3" s="43">
        <v>189.8</v>
      </c>
    </row>
    <row r="4" spans="1:7">
      <c r="A4" s="32" t="s">
        <v>387</v>
      </c>
      <c r="B4" s="35">
        <v>100</v>
      </c>
      <c r="C4" s="58" t="e">
        <f>(B4-#REF!-#REF!-#REF!-#REF!-#REF!)</f>
        <v>#REF!</v>
      </c>
      <c r="D4" s="32" t="s">
        <v>388</v>
      </c>
      <c r="E4" s="32" t="s">
        <v>389</v>
      </c>
      <c r="F4" s="49">
        <v>20.260000000000002</v>
      </c>
      <c r="G4" s="43">
        <v>2026</v>
      </c>
    </row>
    <row r="5" spans="1:7">
      <c r="A5" s="32" t="s">
        <v>390</v>
      </c>
      <c r="B5" s="35">
        <v>100</v>
      </c>
      <c r="C5" s="58" t="e">
        <f>(B5-#REF!-#REF!-#REF!-#REF!-#REF!)</f>
        <v>#REF!</v>
      </c>
      <c r="D5" s="32" t="s">
        <v>388</v>
      </c>
      <c r="E5" s="32" t="s">
        <v>391</v>
      </c>
      <c r="F5" s="49">
        <v>7.9493</v>
      </c>
      <c r="G5" s="43">
        <v>794.93</v>
      </c>
    </row>
    <row r="6" spans="1:7">
      <c r="A6" s="32" t="s">
        <v>392</v>
      </c>
      <c r="B6" s="35">
        <v>15000</v>
      </c>
      <c r="C6" s="58" t="e">
        <f>(B6-#REF!-#REF!-#REF!-#REF!-#REF!)</f>
        <v>#REF!</v>
      </c>
      <c r="D6" s="32" t="s">
        <v>386</v>
      </c>
      <c r="E6" s="32" t="s">
        <v>393</v>
      </c>
      <c r="F6" s="49">
        <v>6.8199999999999997E-2</v>
      </c>
      <c r="G6" s="43">
        <v>1023</v>
      </c>
    </row>
    <row r="7" spans="1:7">
      <c r="A7" s="32" t="s">
        <v>394</v>
      </c>
      <c r="B7" s="35">
        <v>500</v>
      </c>
      <c r="C7" s="58" t="e">
        <f>(B7-#REF!-#REF!-#REF!-#REF!-#REF!)</f>
        <v>#REF!</v>
      </c>
      <c r="D7" s="32" t="s">
        <v>386</v>
      </c>
      <c r="E7" s="32" t="s">
        <v>395</v>
      </c>
      <c r="F7" s="49">
        <v>1.3825000000000001</v>
      </c>
      <c r="G7" s="43">
        <v>691.25</v>
      </c>
    </row>
    <row r="8" spans="1:7">
      <c r="A8" s="32" t="s">
        <v>396</v>
      </c>
      <c r="B8" s="35">
        <v>10000</v>
      </c>
      <c r="C8" s="58" t="e">
        <f>(B8-#REF!-#REF!-#REF!-#REF!-#REF!)</f>
        <v>#REF!</v>
      </c>
      <c r="D8" s="32" t="s">
        <v>386</v>
      </c>
      <c r="E8" s="32" t="s">
        <v>397</v>
      </c>
      <c r="F8" s="49">
        <v>0.19</v>
      </c>
      <c r="G8" s="43">
        <v>1900</v>
      </c>
    </row>
    <row r="9" spans="1:7">
      <c r="A9" s="32" t="s">
        <v>398</v>
      </c>
      <c r="B9" s="35">
        <v>20000</v>
      </c>
      <c r="C9" s="58" t="e">
        <f>(B9-#REF!-#REF!-#REF!-#REF!-#REF!)</f>
        <v>#REF!</v>
      </c>
      <c r="D9" s="32" t="s">
        <v>386</v>
      </c>
      <c r="E9" s="32" t="s">
        <v>399</v>
      </c>
      <c r="F9" s="49">
        <v>0.19</v>
      </c>
      <c r="G9" s="43">
        <v>3800</v>
      </c>
    </row>
    <row r="10" spans="1:7">
      <c r="A10" s="32" t="s">
        <v>400</v>
      </c>
      <c r="B10" s="35">
        <v>15000</v>
      </c>
      <c r="C10" s="58" t="e">
        <f>(B10-#REF!-#REF!-#REF!-#REF!-#REF!)</f>
        <v>#REF!</v>
      </c>
      <c r="D10" s="32" t="s">
        <v>386</v>
      </c>
      <c r="E10" s="32" t="s">
        <v>401</v>
      </c>
      <c r="F10" s="49">
        <v>0.19</v>
      </c>
      <c r="G10" s="43">
        <v>2850</v>
      </c>
    </row>
    <row r="11" spans="1:7">
      <c r="A11" s="32" t="s">
        <v>402</v>
      </c>
      <c r="B11" s="35">
        <v>12000</v>
      </c>
      <c r="C11" s="58" t="e">
        <f>(B11-#REF!-#REF!-#REF!-#REF!-#REF!)</f>
        <v>#REF!</v>
      </c>
      <c r="D11" s="32" t="s">
        <v>386</v>
      </c>
      <c r="E11" s="32" t="s">
        <v>403</v>
      </c>
      <c r="F11" s="49">
        <v>0.2271</v>
      </c>
      <c r="G11" s="43">
        <v>2725.2</v>
      </c>
    </row>
    <row r="12" spans="1:7">
      <c r="A12" s="32" t="s">
        <v>404</v>
      </c>
      <c r="B12" s="35">
        <v>50</v>
      </c>
      <c r="C12" s="58" t="e">
        <f>(B12-#REF!-#REF!-#REF!-#REF!-#REF!)</f>
        <v>#REF!</v>
      </c>
      <c r="D12" s="32" t="s">
        <v>405</v>
      </c>
      <c r="E12" s="32" t="s">
        <v>406</v>
      </c>
      <c r="F12" s="49">
        <v>30.53</v>
      </c>
      <c r="G12" s="43">
        <v>1526.5</v>
      </c>
    </row>
    <row r="13" spans="1:7">
      <c r="A13" s="32" t="s">
        <v>407</v>
      </c>
      <c r="B13" s="35">
        <v>100</v>
      </c>
      <c r="C13" s="58" t="e">
        <f>(B13-#REF!-#REF!-#REF!-#REF!-#REF!)</f>
        <v>#REF!</v>
      </c>
      <c r="D13" s="32" t="s">
        <v>388</v>
      </c>
      <c r="E13" s="32" t="s">
        <v>408</v>
      </c>
      <c r="F13" s="49">
        <v>5.8994</v>
      </c>
      <c r="G13" s="43">
        <v>589.94000000000005</v>
      </c>
    </row>
    <row r="14" spans="1:7">
      <c r="A14" s="32" t="s">
        <v>409</v>
      </c>
      <c r="B14" s="35">
        <v>100</v>
      </c>
      <c r="C14" s="58" t="e">
        <f>(B14-#REF!-#REF!-#REF!-#REF!-#REF!)</f>
        <v>#REF!</v>
      </c>
      <c r="D14" s="32" t="s">
        <v>410</v>
      </c>
      <c r="E14" s="32" t="s">
        <v>411</v>
      </c>
      <c r="F14" s="49">
        <v>16.2</v>
      </c>
      <c r="G14" s="43">
        <v>1620</v>
      </c>
    </row>
    <row r="15" spans="1:7">
      <c r="A15" s="32" t="s">
        <v>412</v>
      </c>
      <c r="B15" s="35">
        <v>300</v>
      </c>
      <c r="C15" s="58" t="e">
        <f>(B15-#REF!-#REF!-#REF!-#REF!-#REF!)</f>
        <v>#REF!</v>
      </c>
      <c r="D15" s="32" t="s">
        <v>388</v>
      </c>
      <c r="E15" s="32" t="s">
        <v>413</v>
      </c>
      <c r="F15" s="49">
        <v>10.9</v>
      </c>
      <c r="G15" s="43">
        <v>3270</v>
      </c>
    </row>
    <row r="16" spans="1:7">
      <c r="A16" s="30" t="s">
        <v>414</v>
      </c>
      <c r="C16" s="58"/>
      <c r="D16" s="33"/>
      <c r="E16" s="33"/>
      <c r="F16" s="50"/>
      <c r="G16" s="44">
        <v>23006.62</v>
      </c>
    </row>
    <row r="17" spans="1:7">
      <c r="A17" s="28"/>
      <c r="B17" s="38"/>
      <c r="C17" s="58"/>
      <c r="D17" s="28"/>
      <c r="E17" s="28"/>
      <c r="F17" s="51"/>
      <c r="G17" s="45"/>
    </row>
    <row r="18" spans="1:7">
      <c r="A18" s="34" t="s">
        <v>377</v>
      </c>
      <c r="B18" s="40" t="s">
        <v>415</v>
      </c>
      <c r="C18" s="58"/>
      <c r="D18" s="29"/>
      <c r="E18" s="29"/>
      <c r="F18" s="47"/>
      <c r="G18" s="41"/>
    </row>
    <row r="19" spans="1:7">
      <c r="A19" s="30" t="s">
        <v>379</v>
      </c>
      <c r="B19" s="36" t="s">
        <v>380</v>
      </c>
      <c r="C19" s="58"/>
      <c r="D19" s="30" t="s">
        <v>381</v>
      </c>
      <c r="E19" s="30" t="s">
        <v>382</v>
      </c>
      <c r="F19" s="48" t="s">
        <v>383</v>
      </c>
      <c r="G19" s="42" t="s">
        <v>384</v>
      </c>
    </row>
    <row r="20" spans="1:7">
      <c r="A20" s="32" t="s">
        <v>416</v>
      </c>
      <c r="B20" s="35">
        <v>5000</v>
      </c>
      <c r="C20" s="58" t="e">
        <f>(B20-#REF!-#REF!-#REF!-#REF!-#REF!)</f>
        <v>#REF!</v>
      </c>
      <c r="D20" s="32" t="s">
        <v>386</v>
      </c>
      <c r="E20" s="32" t="s">
        <v>417</v>
      </c>
      <c r="F20" s="49">
        <v>0.92</v>
      </c>
      <c r="G20" s="43">
        <v>4600</v>
      </c>
    </row>
    <row r="21" spans="1:7">
      <c r="A21" s="32" t="s">
        <v>418</v>
      </c>
      <c r="B21" s="35">
        <v>10000</v>
      </c>
      <c r="C21" s="58" t="e">
        <f>(B21-#REF!-#REF!-#REF!-#REF!-#REF!)</f>
        <v>#REF!</v>
      </c>
      <c r="D21" s="32" t="s">
        <v>386</v>
      </c>
      <c r="E21" s="32" t="s">
        <v>419</v>
      </c>
      <c r="F21" s="49">
        <v>0.33400000000000002</v>
      </c>
      <c r="G21" s="43">
        <v>3340</v>
      </c>
    </row>
    <row r="22" spans="1:7">
      <c r="A22" s="30" t="s">
        <v>414</v>
      </c>
      <c r="B22" s="39"/>
      <c r="C22" s="58"/>
      <c r="D22" s="33"/>
      <c r="E22" s="33"/>
      <c r="F22" s="52"/>
      <c r="G22" s="44">
        <v>7940</v>
      </c>
    </row>
    <row r="23" spans="1:7">
      <c r="A23" s="28"/>
      <c r="B23" s="38"/>
      <c r="C23" s="58"/>
      <c r="D23" s="28"/>
      <c r="E23" s="28"/>
      <c r="F23" s="51"/>
      <c r="G23" s="45"/>
    </row>
    <row r="24" spans="1:7">
      <c r="A24" s="34" t="s">
        <v>377</v>
      </c>
      <c r="B24" s="40" t="s">
        <v>420</v>
      </c>
      <c r="C24" s="58"/>
      <c r="D24" s="29"/>
      <c r="E24" s="29"/>
      <c r="F24" s="47"/>
      <c r="G24" s="41"/>
    </row>
    <row r="25" spans="1:7">
      <c r="A25" s="30" t="s">
        <v>379</v>
      </c>
      <c r="B25" s="36" t="s">
        <v>380</v>
      </c>
      <c r="C25" s="58"/>
      <c r="D25" s="30" t="s">
        <v>381</v>
      </c>
      <c r="E25" s="30" t="s">
        <v>382</v>
      </c>
      <c r="F25" s="48" t="s">
        <v>383</v>
      </c>
      <c r="G25" s="42" t="s">
        <v>384</v>
      </c>
    </row>
    <row r="26" spans="1:7">
      <c r="A26" s="32" t="s">
        <v>421</v>
      </c>
      <c r="B26" s="35">
        <v>20000</v>
      </c>
      <c r="C26" s="58" t="e">
        <f>(B26-#REF!-#REF!-#REF!-#REF!-#REF!)</f>
        <v>#REF!</v>
      </c>
      <c r="D26" s="32" t="s">
        <v>386</v>
      </c>
      <c r="E26" s="32" t="s">
        <v>422</v>
      </c>
      <c r="F26" s="49">
        <v>0.04</v>
      </c>
      <c r="G26" s="43">
        <v>800</v>
      </c>
    </row>
    <row r="27" spans="1:7">
      <c r="A27" s="32" t="s">
        <v>423</v>
      </c>
      <c r="B27" s="35">
        <v>2000</v>
      </c>
      <c r="C27" s="58" t="e">
        <f>(B27-#REF!-#REF!-#REF!-#REF!-#REF!)</f>
        <v>#REF!</v>
      </c>
      <c r="D27" s="32" t="s">
        <v>386</v>
      </c>
      <c r="E27" s="32" t="s">
        <v>424</v>
      </c>
      <c r="F27" s="49">
        <v>0.32550000000000001</v>
      </c>
      <c r="G27" s="43">
        <v>651</v>
      </c>
    </row>
    <row r="28" spans="1:7">
      <c r="A28" s="32" t="s">
        <v>425</v>
      </c>
      <c r="B28" s="35">
        <v>3000</v>
      </c>
      <c r="C28" s="58" t="e">
        <f>(B28-#REF!-#REF!-#REF!-#REF!-#REF!)</f>
        <v>#REF!</v>
      </c>
      <c r="D28" s="32" t="s">
        <v>386</v>
      </c>
      <c r="E28" s="32" t="s">
        <v>426</v>
      </c>
      <c r="F28" s="49">
        <v>0.28079999999999999</v>
      </c>
      <c r="G28" s="43">
        <v>842.4</v>
      </c>
    </row>
    <row r="29" spans="1:7">
      <c r="A29" s="32" t="s">
        <v>427</v>
      </c>
      <c r="B29" s="35">
        <v>400</v>
      </c>
      <c r="C29" s="58" t="e">
        <f>(B29-#REF!-#REF!-#REF!-#REF!-#REF!)</f>
        <v>#REF!</v>
      </c>
      <c r="D29" s="32" t="s">
        <v>388</v>
      </c>
      <c r="E29" s="32" t="s">
        <v>428</v>
      </c>
      <c r="F29" s="49">
        <v>1.9343999999999999</v>
      </c>
      <c r="G29" s="43">
        <v>773.76</v>
      </c>
    </row>
    <row r="30" spans="1:7">
      <c r="A30" s="32" t="s">
        <v>429</v>
      </c>
      <c r="B30" s="35">
        <v>10000</v>
      </c>
      <c r="C30" s="58" t="e">
        <f>(B30-#REF!-#REF!-#REF!-#REF!-#REF!)</f>
        <v>#REF!</v>
      </c>
      <c r="D30" s="32" t="s">
        <v>386</v>
      </c>
      <c r="E30" s="32" t="s">
        <v>430</v>
      </c>
      <c r="F30" s="49">
        <v>0.13</v>
      </c>
      <c r="G30" s="43">
        <v>1300</v>
      </c>
    </row>
    <row r="31" spans="1:7">
      <c r="A31" s="32" t="s">
        <v>431</v>
      </c>
      <c r="B31" s="35">
        <v>4000</v>
      </c>
      <c r="C31" s="58" t="e">
        <f>(B31-#REF!-#REF!-#REF!-#REF!-#REF!)</f>
        <v>#REF!</v>
      </c>
      <c r="D31" s="32" t="s">
        <v>386</v>
      </c>
      <c r="E31" s="32" t="s">
        <v>432</v>
      </c>
      <c r="F31" s="49">
        <v>0.20330000000000001</v>
      </c>
      <c r="G31" s="43">
        <v>813.2</v>
      </c>
    </row>
    <row r="32" spans="1:7">
      <c r="A32" s="32" t="s">
        <v>433</v>
      </c>
      <c r="B32" s="35">
        <v>100</v>
      </c>
      <c r="C32" s="58" t="e">
        <f>(B32-#REF!-#REF!-#REF!-#REF!-#REF!)</f>
        <v>#REF!</v>
      </c>
      <c r="D32" s="32" t="s">
        <v>388</v>
      </c>
      <c r="E32" s="32" t="s">
        <v>434</v>
      </c>
      <c r="F32" s="49">
        <v>3.49</v>
      </c>
      <c r="G32" s="43">
        <v>349</v>
      </c>
    </row>
    <row r="33" spans="1:7">
      <c r="A33" s="32" t="s">
        <v>435</v>
      </c>
      <c r="B33" s="35">
        <v>50000</v>
      </c>
      <c r="C33" s="58" t="e">
        <f>(B33-#REF!-#REF!-#REF!-#REF!-#REF!)</f>
        <v>#REF!</v>
      </c>
      <c r="D33" s="32" t="s">
        <v>386</v>
      </c>
      <c r="E33" s="32" t="s">
        <v>436</v>
      </c>
      <c r="F33" s="49">
        <v>0.03</v>
      </c>
      <c r="G33" s="43">
        <v>1500</v>
      </c>
    </row>
    <row r="34" spans="1:7">
      <c r="A34" s="32" t="s">
        <v>437</v>
      </c>
      <c r="B34" s="35">
        <v>200</v>
      </c>
      <c r="C34" s="58" t="e">
        <f>(B34-#REF!-#REF!-#REF!-#REF!-#REF!)</f>
        <v>#REF!</v>
      </c>
      <c r="D34" s="32" t="s">
        <v>388</v>
      </c>
      <c r="E34" s="32" t="s">
        <v>438</v>
      </c>
      <c r="F34" s="49">
        <v>1.04</v>
      </c>
      <c r="G34" s="43">
        <v>208</v>
      </c>
    </row>
    <row r="35" spans="1:7">
      <c r="A35" s="32" t="s">
        <v>439</v>
      </c>
      <c r="B35" s="35">
        <v>100</v>
      </c>
      <c r="C35" s="58" t="e">
        <f>(B35-#REF!-#REF!-#REF!-#REF!-#REF!)</f>
        <v>#REF!</v>
      </c>
      <c r="D35" s="32" t="s">
        <v>388</v>
      </c>
      <c r="E35" s="32" t="s">
        <v>440</v>
      </c>
      <c r="F35" s="49">
        <v>1.339</v>
      </c>
      <c r="G35" s="43">
        <v>133.9</v>
      </c>
    </row>
    <row r="36" spans="1:7">
      <c r="A36" s="32" t="s">
        <v>441</v>
      </c>
      <c r="B36" s="35">
        <v>100</v>
      </c>
      <c r="C36" s="58" t="e">
        <f>(B36-#REF!-#REF!-#REF!-#REF!-#REF!)</f>
        <v>#REF!</v>
      </c>
      <c r="D36" s="32" t="s">
        <v>410</v>
      </c>
      <c r="E36" s="32" t="s">
        <v>442</v>
      </c>
      <c r="F36" s="49">
        <v>6.1</v>
      </c>
      <c r="G36" s="43">
        <v>610</v>
      </c>
    </row>
    <row r="37" spans="1:7">
      <c r="A37" s="32" t="s">
        <v>443</v>
      </c>
      <c r="B37" s="35">
        <v>6000</v>
      </c>
      <c r="C37" s="58" t="e">
        <f>(B37-#REF!-#REF!-#REF!-#REF!-#REF!)</f>
        <v>#REF!</v>
      </c>
      <c r="D37" s="32" t="s">
        <v>386</v>
      </c>
      <c r="E37" s="32" t="s">
        <v>444</v>
      </c>
      <c r="F37" s="49">
        <v>0.14299999999999999</v>
      </c>
      <c r="G37" s="43">
        <v>858</v>
      </c>
    </row>
    <row r="38" spans="1:7">
      <c r="A38" s="32" t="s">
        <v>445</v>
      </c>
      <c r="B38" s="35">
        <v>10000</v>
      </c>
      <c r="C38" s="58" t="e">
        <f>(B38-#REF!-#REF!-#REF!-#REF!-#REF!)</f>
        <v>#REF!</v>
      </c>
      <c r="D38" s="32" t="s">
        <v>386</v>
      </c>
      <c r="E38" s="32" t="s">
        <v>446</v>
      </c>
      <c r="F38" s="49">
        <v>0.61780000000000002</v>
      </c>
      <c r="G38" s="43">
        <v>6178</v>
      </c>
    </row>
    <row r="39" spans="1:7">
      <c r="A39" s="32" t="s">
        <v>447</v>
      </c>
      <c r="B39" s="35">
        <v>100</v>
      </c>
      <c r="C39" s="58" t="e">
        <f>(B39-#REF!-#REF!-#REF!-#REF!-#REF!)</f>
        <v>#REF!</v>
      </c>
      <c r="D39" s="32" t="s">
        <v>410</v>
      </c>
      <c r="E39" s="32" t="s">
        <v>448</v>
      </c>
      <c r="F39" s="49">
        <v>2.9278</v>
      </c>
      <c r="G39" s="43">
        <v>292.77999999999997</v>
      </c>
    </row>
    <row r="40" spans="1:7">
      <c r="A40" s="32" t="s">
        <v>449</v>
      </c>
      <c r="B40" s="35">
        <v>3000</v>
      </c>
      <c r="C40" s="58" t="e">
        <f>(B40-#REF!-#REF!-#REF!-#REF!-#REF!)</f>
        <v>#REF!</v>
      </c>
      <c r="D40" s="32" t="s">
        <v>388</v>
      </c>
      <c r="E40" s="32" t="s">
        <v>450</v>
      </c>
      <c r="F40" s="49">
        <v>5.3</v>
      </c>
      <c r="G40" s="43">
        <v>15900</v>
      </c>
    </row>
    <row r="41" spans="1:7">
      <c r="A41" s="32" t="s">
        <v>451</v>
      </c>
      <c r="B41" s="35">
        <v>2000</v>
      </c>
      <c r="C41" s="58" t="e">
        <f>(B41-#REF!-#REF!-#REF!-#REF!-#REF!)</f>
        <v>#REF!</v>
      </c>
      <c r="D41" s="32" t="s">
        <v>410</v>
      </c>
      <c r="E41" s="32" t="s">
        <v>452</v>
      </c>
      <c r="F41" s="49">
        <v>0.4647</v>
      </c>
      <c r="G41" s="43">
        <v>929.4</v>
      </c>
    </row>
    <row r="42" spans="1:7">
      <c r="A42" s="32" t="s">
        <v>453</v>
      </c>
      <c r="B42" s="35">
        <v>600</v>
      </c>
      <c r="C42" s="58" t="e">
        <f>(B42-#REF!-#REF!-#REF!-#REF!-#REF!)</f>
        <v>#REF!</v>
      </c>
      <c r="D42" s="32" t="s">
        <v>454</v>
      </c>
      <c r="E42" s="32" t="s">
        <v>455</v>
      </c>
      <c r="F42" s="49">
        <v>7.3216000000000001</v>
      </c>
      <c r="G42" s="43">
        <v>4392.96</v>
      </c>
    </row>
    <row r="43" spans="1:7">
      <c r="A43" s="32" t="s">
        <v>456</v>
      </c>
      <c r="B43" s="35">
        <v>50</v>
      </c>
      <c r="C43" s="58" t="e">
        <f>(B43-#REF!-#REF!-#REF!-#REF!-#REF!)</f>
        <v>#REF!</v>
      </c>
      <c r="D43" s="32" t="s">
        <v>410</v>
      </c>
      <c r="E43" s="32" t="s">
        <v>457</v>
      </c>
      <c r="F43" s="49">
        <v>23.905200000000001</v>
      </c>
      <c r="G43" s="43">
        <v>1195.26</v>
      </c>
    </row>
    <row r="44" spans="1:7">
      <c r="A44" s="30" t="s">
        <v>414</v>
      </c>
      <c r="B44" s="39"/>
      <c r="C44" s="58"/>
      <c r="D44" s="33"/>
      <c r="E44" s="33"/>
      <c r="F44" s="53"/>
      <c r="G44" s="44">
        <v>37727.660000000003</v>
      </c>
    </row>
    <row r="45" spans="1:7">
      <c r="A45" s="28"/>
      <c r="B45" s="38"/>
      <c r="C45" s="58"/>
      <c r="D45" s="28"/>
      <c r="E45" s="28"/>
      <c r="F45" s="51"/>
      <c r="G45" s="45"/>
    </row>
    <row r="46" spans="1:7">
      <c r="A46" s="34" t="s">
        <v>377</v>
      </c>
      <c r="B46" s="40" t="s">
        <v>458</v>
      </c>
      <c r="C46" s="58"/>
      <c r="D46" s="29"/>
      <c r="E46" s="29"/>
      <c r="F46" s="47"/>
      <c r="G46" s="41"/>
    </row>
    <row r="47" spans="1:7">
      <c r="A47" s="30" t="s">
        <v>379</v>
      </c>
      <c r="B47" s="36" t="s">
        <v>380</v>
      </c>
      <c r="C47" s="58"/>
      <c r="D47" s="30" t="s">
        <v>381</v>
      </c>
      <c r="E47" s="30" t="s">
        <v>382</v>
      </c>
      <c r="F47" s="48" t="s">
        <v>383</v>
      </c>
      <c r="G47" s="42" t="s">
        <v>384</v>
      </c>
    </row>
    <row r="48" spans="1:7">
      <c r="A48" s="32" t="s">
        <v>459</v>
      </c>
      <c r="B48" s="35">
        <v>10000</v>
      </c>
      <c r="C48" s="58" t="e">
        <f>(B48-#REF!-#REF!-#REF!-#REF!-#REF!)</f>
        <v>#REF!</v>
      </c>
      <c r="D48" s="32" t="s">
        <v>386</v>
      </c>
      <c r="E48" s="32" t="s">
        <v>460</v>
      </c>
      <c r="F48" s="49">
        <v>0.35</v>
      </c>
      <c r="G48" s="43">
        <v>3500</v>
      </c>
    </row>
    <row r="49" spans="1:7">
      <c r="A49" s="32" t="s">
        <v>461</v>
      </c>
      <c r="B49" s="35">
        <v>200</v>
      </c>
      <c r="C49" s="58" t="e">
        <f>(B49-#REF!-#REF!-#REF!-#REF!-#REF!)</f>
        <v>#REF!</v>
      </c>
      <c r="D49" s="32" t="s">
        <v>388</v>
      </c>
      <c r="E49" s="32" t="s">
        <v>462</v>
      </c>
      <c r="F49" s="49">
        <v>25.84</v>
      </c>
      <c r="G49" s="43">
        <v>5168</v>
      </c>
    </row>
    <row r="50" spans="1:7">
      <c r="A50" s="32" t="s">
        <v>463</v>
      </c>
      <c r="B50" s="35">
        <v>5000</v>
      </c>
      <c r="C50" s="58" t="e">
        <f>(B50-#REF!-#REF!-#REF!-#REF!-#REF!)</f>
        <v>#REF!</v>
      </c>
      <c r="D50" s="32" t="s">
        <v>386</v>
      </c>
      <c r="E50" s="32" t="s">
        <v>464</v>
      </c>
      <c r="F50" s="49">
        <v>0.35</v>
      </c>
      <c r="G50" s="43">
        <v>1750</v>
      </c>
    </row>
    <row r="51" spans="1:7">
      <c r="A51" s="32" t="s">
        <v>465</v>
      </c>
      <c r="B51" s="35">
        <v>10000</v>
      </c>
      <c r="C51" s="58" t="e">
        <f>(B51-#REF!-#REF!-#REF!-#REF!-#REF!)</f>
        <v>#REF!</v>
      </c>
      <c r="D51" s="32" t="s">
        <v>386</v>
      </c>
      <c r="E51" s="32" t="s">
        <v>466</v>
      </c>
      <c r="F51" s="49">
        <v>0.14000000000000001</v>
      </c>
      <c r="G51" s="43">
        <v>1400</v>
      </c>
    </row>
    <row r="52" spans="1:7">
      <c r="A52" s="32" t="s">
        <v>467</v>
      </c>
      <c r="B52" s="35">
        <v>6000</v>
      </c>
      <c r="C52" s="58" t="e">
        <f>(B52-#REF!-#REF!-#REF!-#REF!-#REF!)</f>
        <v>#REF!</v>
      </c>
      <c r="D52" s="32" t="s">
        <v>386</v>
      </c>
      <c r="E52" s="32" t="s">
        <v>468</v>
      </c>
      <c r="F52" s="49">
        <v>0.18</v>
      </c>
      <c r="G52" s="43">
        <v>1080</v>
      </c>
    </row>
    <row r="53" spans="1:7">
      <c r="A53" s="32" t="s">
        <v>469</v>
      </c>
      <c r="B53" s="35">
        <v>400</v>
      </c>
      <c r="C53" s="58" t="e">
        <f>(B53-#REF!-#REF!-#REF!-#REF!-#REF!)</f>
        <v>#REF!</v>
      </c>
      <c r="D53" s="32" t="s">
        <v>410</v>
      </c>
      <c r="E53" s="32" t="s">
        <v>470</v>
      </c>
      <c r="F53" s="49">
        <v>5.6</v>
      </c>
      <c r="G53" s="43">
        <v>2240</v>
      </c>
    </row>
    <row r="54" spans="1:7">
      <c r="A54" s="32" t="s">
        <v>471</v>
      </c>
      <c r="B54" s="35">
        <v>50</v>
      </c>
      <c r="C54" s="58" t="e">
        <f>(B54-#REF!-#REF!-#REF!-#REF!-#REF!)</f>
        <v>#REF!</v>
      </c>
      <c r="D54" s="32" t="s">
        <v>410</v>
      </c>
      <c r="E54" s="32" t="s">
        <v>472</v>
      </c>
      <c r="F54" s="49">
        <v>22</v>
      </c>
      <c r="G54" s="43">
        <v>1100</v>
      </c>
    </row>
    <row r="55" spans="1:7">
      <c r="A55" s="30" t="s">
        <v>414</v>
      </c>
      <c r="B55" s="39"/>
      <c r="C55" s="58"/>
      <c r="D55" s="33"/>
      <c r="E55" s="33"/>
      <c r="F55" s="53"/>
      <c r="G55" s="44">
        <v>16238</v>
      </c>
    </row>
    <row r="56" spans="1:7">
      <c r="A56" s="28"/>
      <c r="B56" s="38"/>
      <c r="C56" s="58"/>
      <c r="D56" s="28"/>
      <c r="E56" s="28"/>
      <c r="F56" s="51"/>
      <c r="G56" s="45"/>
    </row>
    <row r="57" spans="1:7">
      <c r="A57" s="34" t="s">
        <v>377</v>
      </c>
      <c r="B57" s="40" t="s">
        <v>473</v>
      </c>
      <c r="C57" s="58"/>
      <c r="D57" s="29"/>
      <c r="E57" s="29"/>
      <c r="F57" s="47"/>
      <c r="G57" s="41"/>
    </row>
    <row r="58" spans="1:7">
      <c r="A58" s="30" t="s">
        <v>379</v>
      </c>
      <c r="B58" s="36" t="s">
        <v>380</v>
      </c>
      <c r="C58" s="58"/>
      <c r="D58" s="30" t="s">
        <v>381</v>
      </c>
      <c r="E58" s="30" t="s">
        <v>382</v>
      </c>
      <c r="F58" s="48" t="s">
        <v>383</v>
      </c>
      <c r="G58" s="42" t="s">
        <v>384</v>
      </c>
    </row>
    <row r="59" spans="1:7">
      <c r="A59" s="32" t="s">
        <v>474</v>
      </c>
      <c r="B59" s="35">
        <v>100</v>
      </c>
      <c r="C59" s="58" t="e">
        <f>(B59-#REF!-#REF!-#REF!-#REF!-#REF!)</f>
        <v>#REF!</v>
      </c>
      <c r="D59" s="32" t="s">
        <v>388</v>
      </c>
      <c r="E59" s="32" t="s">
        <v>475</v>
      </c>
      <c r="F59" s="49">
        <v>5.15</v>
      </c>
      <c r="G59" s="43">
        <v>515</v>
      </c>
    </row>
    <row r="60" spans="1:7">
      <c r="A60" s="32" t="s">
        <v>476</v>
      </c>
      <c r="B60" s="35">
        <v>50</v>
      </c>
      <c r="C60" s="58" t="e">
        <f>(B60-#REF!-#REF!-#REF!-#REF!-#REF!)</f>
        <v>#REF!</v>
      </c>
      <c r="D60" s="32" t="s">
        <v>388</v>
      </c>
      <c r="E60" s="63" t="s">
        <v>873</v>
      </c>
      <c r="F60" s="49">
        <v>2.5499999999999998</v>
      </c>
      <c r="G60" s="43">
        <v>127.5</v>
      </c>
    </row>
    <row r="61" spans="1:7">
      <c r="A61" s="32" t="s">
        <v>477</v>
      </c>
      <c r="B61" s="35">
        <v>100</v>
      </c>
      <c r="C61" s="58" t="e">
        <f>(B61-#REF!-#REF!-#REF!-#REF!-#REF!)</f>
        <v>#REF!</v>
      </c>
      <c r="D61" s="32" t="s">
        <v>388</v>
      </c>
      <c r="E61" s="32" t="s">
        <v>478</v>
      </c>
      <c r="F61" s="49">
        <v>2.6</v>
      </c>
      <c r="G61" s="43">
        <v>260</v>
      </c>
    </row>
    <row r="62" spans="1:7">
      <c r="A62" s="32" t="s">
        <v>479</v>
      </c>
      <c r="B62" s="35">
        <v>100</v>
      </c>
      <c r="C62" s="58" t="e">
        <f>(B62-#REF!-#REF!-#REF!-#REF!-#REF!)</f>
        <v>#REF!</v>
      </c>
      <c r="D62" s="32" t="s">
        <v>388</v>
      </c>
      <c r="E62" s="32" t="s">
        <v>480</v>
      </c>
      <c r="F62" s="49">
        <v>2.88</v>
      </c>
      <c r="G62" s="43">
        <v>288</v>
      </c>
    </row>
    <row r="63" spans="1:7">
      <c r="A63" s="32" t="s">
        <v>481</v>
      </c>
      <c r="B63" s="35">
        <v>15000</v>
      </c>
      <c r="C63" s="58" t="e">
        <f>(B63-#REF!-#REF!-#REF!-#REF!-#REF!)</f>
        <v>#REF!</v>
      </c>
      <c r="D63" s="32" t="s">
        <v>386</v>
      </c>
      <c r="E63" s="32" t="s">
        <v>482</v>
      </c>
      <c r="F63" s="49">
        <v>0.03</v>
      </c>
      <c r="G63" s="43">
        <v>450</v>
      </c>
    </row>
    <row r="64" spans="1:7">
      <c r="A64" s="32" t="s">
        <v>483</v>
      </c>
      <c r="B64" s="35">
        <v>5000</v>
      </c>
      <c r="C64" s="58" t="e">
        <f>(B64-#REF!-#REF!-#REF!-#REF!-#REF!)</f>
        <v>#REF!</v>
      </c>
      <c r="D64" s="32" t="s">
        <v>386</v>
      </c>
      <c r="E64" s="32" t="s">
        <v>484</v>
      </c>
      <c r="F64" s="49">
        <v>0.08</v>
      </c>
      <c r="G64" s="43">
        <v>400</v>
      </c>
    </row>
    <row r="65" spans="1:7">
      <c r="A65" s="32" t="s">
        <v>485</v>
      </c>
      <c r="B65" s="35">
        <v>300</v>
      </c>
      <c r="C65" s="58" t="e">
        <f>(B65-#REF!-#REF!-#REF!-#REF!-#REF!)</f>
        <v>#REF!</v>
      </c>
      <c r="D65" s="32" t="s">
        <v>410</v>
      </c>
      <c r="E65" s="32" t="s">
        <v>486</v>
      </c>
      <c r="F65" s="49">
        <v>18.899999999999999</v>
      </c>
      <c r="G65" s="43">
        <v>5670</v>
      </c>
    </row>
    <row r="66" spans="1:7">
      <c r="A66" s="32" t="s">
        <v>487</v>
      </c>
      <c r="B66" s="35">
        <v>20000</v>
      </c>
      <c r="C66" s="58" t="e">
        <f>(B66-#REF!-#REF!-#REF!-#REF!-#REF!)</f>
        <v>#REF!</v>
      </c>
      <c r="D66" s="32" t="s">
        <v>386</v>
      </c>
      <c r="E66" s="32" t="s">
        <v>488</v>
      </c>
      <c r="F66" s="49">
        <v>0.04</v>
      </c>
      <c r="G66" s="43">
        <v>800</v>
      </c>
    </row>
    <row r="67" spans="1:7">
      <c r="A67" s="32" t="s">
        <v>489</v>
      </c>
      <c r="B67" s="35">
        <v>30000</v>
      </c>
      <c r="C67" s="58" t="e">
        <f>(B67-#REF!-#REF!-#REF!-#REF!-#REF!)</f>
        <v>#REF!</v>
      </c>
      <c r="D67" s="32" t="s">
        <v>386</v>
      </c>
      <c r="E67" s="32" t="s">
        <v>490</v>
      </c>
      <c r="F67" s="49">
        <v>0.05</v>
      </c>
      <c r="G67" s="43">
        <v>1500</v>
      </c>
    </row>
    <row r="68" spans="1:7">
      <c r="A68" s="32" t="s">
        <v>491</v>
      </c>
      <c r="B68" s="35">
        <v>5000</v>
      </c>
      <c r="C68" s="58" t="e">
        <f>(B68-#REF!-#REF!-#REF!-#REF!-#REF!)</f>
        <v>#REF!</v>
      </c>
      <c r="D68" s="32" t="s">
        <v>386</v>
      </c>
      <c r="E68" s="32" t="s">
        <v>492</v>
      </c>
      <c r="F68" s="49">
        <v>0.04</v>
      </c>
      <c r="G68" s="43">
        <v>200</v>
      </c>
    </row>
    <row r="69" spans="1:7">
      <c r="A69" s="32" t="s">
        <v>493</v>
      </c>
      <c r="B69" s="35">
        <v>100</v>
      </c>
      <c r="C69" s="58" t="e">
        <f>(B69-#REF!-#REF!-#REF!-#REF!-#REF!)</f>
        <v>#REF!</v>
      </c>
      <c r="D69" s="32" t="s">
        <v>410</v>
      </c>
      <c r="E69" s="32" t="s">
        <v>494</v>
      </c>
      <c r="F69" s="49">
        <v>4.28</v>
      </c>
      <c r="G69" s="43">
        <v>428</v>
      </c>
    </row>
    <row r="70" spans="1:7">
      <c r="A70" s="32" t="s">
        <v>495</v>
      </c>
      <c r="B70" s="35">
        <v>200</v>
      </c>
      <c r="C70" s="58" t="e">
        <f>(B70-#REF!-#REF!-#REF!-#REF!-#REF!)</f>
        <v>#REF!</v>
      </c>
      <c r="D70" s="32" t="s">
        <v>388</v>
      </c>
      <c r="E70" s="32" t="s">
        <v>496</v>
      </c>
      <c r="F70" s="49">
        <v>3.05</v>
      </c>
      <c r="G70" s="43">
        <v>610</v>
      </c>
    </row>
    <row r="71" spans="1:7">
      <c r="A71" s="32" t="s">
        <v>497</v>
      </c>
      <c r="B71" s="35">
        <v>7000</v>
      </c>
      <c r="C71" s="58" t="e">
        <f>(B71-#REF!-#REF!-#REF!-#REF!-#REF!)</f>
        <v>#REF!</v>
      </c>
      <c r="D71" s="32" t="s">
        <v>386</v>
      </c>
      <c r="E71" s="32" t="s">
        <v>498</v>
      </c>
      <c r="F71" s="49">
        <v>0.49</v>
      </c>
      <c r="G71" s="43">
        <v>3430</v>
      </c>
    </row>
    <row r="72" spans="1:7">
      <c r="A72" s="32" t="s">
        <v>499</v>
      </c>
      <c r="B72" s="35">
        <v>1000</v>
      </c>
      <c r="C72" s="58" t="e">
        <f>(B72-#REF!-#REF!-#REF!-#REF!-#REF!)</f>
        <v>#REF!</v>
      </c>
      <c r="D72" s="32" t="s">
        <v>410</v>
      </c>
      <c r="E72" s="32" t="s">
        <v>500</v>
      </c>
      <c r="F72" s="49">
        <v>2.2799999999999998</v>
      </c>
      <c r="G72" s="43">
        <v>2280</v>
      </c>
    </row>
    <row r="73" spans="1:7">
      <c r="A73" s="32" t="s">
        <v>501</v>
      </c>
      <c r="B73" s="35">
        <v>300</v>
      </c>
      <c r="C73" s="58" t="e">
        <f>(B73-#REF!-#REF!-#REF!-#REF!-#REF!)</f>
        <v>#REF!</v>
      </c>
      <c r="D73" s="32" t="s">
        <v>388</v>
      </c>
      <c r="E73" s="32" t="s">
        <v>502</v>
      </c>
      <c r="F73" s="49">
        <v>1.45</v>
      </c>
      <c r="G73" s="43">
        <v>435</v>
      </c>
    </row>
    <row r="74" spans="1:7">
      <c r="A74" s="32" t="s">
        <v>503</v>
      </c>
      <c r="B74" s="35">
        <v>400</v>
      </c>
      <c r="C74" s="58" t="e">
        <f>(B74-#REF!-#REF!-#REF!-#REF!-#REF!)</f>
        <v>#REF!</v>
      </c>
      <c r="D74" s="32" t="s">
        <v>388</v>
      </c>
      <c r="E74" s="32" t="s">
        <v>504</v>
      </c>
      <c r="F74" s="49">
        <v>4.58</v>
      </c>
      <c r="G74" s="43">
        <v>1832</v>
      </c>
    </row>
    <row r="75" spans="1:7">
      <c r="A75" s="32" t="s">
        <v>505</v>
      </c>
      <c r="B75" s="35">
        <v>8000</v>
      </c>
      <c r="C75" s="58" t="e">
        <f>(B75-#REF!-#REF!-#REF!-#REF!-#REF!)</f>
        <v>#REF!</v>
      </c>
      <c r="D75" s="32" t="s">
        <v>386</v>
      </c>
      <c r="E75" s="32" t="s">
        <v>506</v>
      </c>
      <c r="F75" s="49">
        <v>0.16</v>
      </c>
      <c r="G75" s="43">
        <v>1280</v>
      </c>
    </row>
    <row r="76" spans="1:7">
      <c r="A76" s="32" t="s">
        <v>507</v>
      </c>
      <c r="B76" s="35">
        <v>200</v>
      </c>
      <c r="C76" s="58" t="e">
        <f>(B76-#REF!-#REF!-#REF!-#REF!-#REF!)</f>
        <v>#REF!</v>
      </c>
      <c r="D76" s="32" t="s">
        <v>388</v>
      </c>
      <c r="E76" s="32" t="s">
        <v>508</v>
      </c>
      <c r="F76" s="49">
        <v>1.89</v>
      </c>
      <c r="G76" s="43">
        <v>378</v>
      </c>
    </row>
    <row r="77" spans="1:7">
      <c r="A77" s="32" t="s">
        <v>509</v>
      </c>
      <c r="B77" s="35">
        <v>5000</v>
      </c>
      <c r="C77" s="58" t="e">
        <f>(B77-#REF!-#REF!-#REF!-#REF!-#REF!)</f>
        <v>#REF!</v>
      </c>
      <c r="D77" s="32" t="s">
        <v>386</v>
      </c>
      <c r="E77" s="32" t="s">
        <v>510</v>
      </c>
      <c r="F77" s="49">
        <v>0.08</v>
      </c>
      <c r="G77" s="43">
        <v>400</v>
      </c>
    </row>
    <row r="78" spans="1:7">
      <c r="A78" s="32" t="s">
        <v>511</v>
      </c>
      <c r="B78" s="35">
        <v>10000</v>
      </c>
      <c r="C78" s="58" t="e">
        <f>(B78-#REF!-#REF!-#REF!-#REF!-#REF!)</f>
        <v>#REF!</v>
      </c>
      <c r="D78" s="32" t="s">
        <v>386</v>
      </c>
      <c r="E78" s="32" t="s">
        <v>512</v>
      </c>
      <c r="F78" s="49">
        <v>0.04</v>
      </c>
      <c r="G78" s="43">
        <v>400</v>
      </c>
    </row>
    <row r="79" spans="1:7">
      <c r="A79" s="32" t="s">
        <v>513</v>
      </c>
      <c r="B79" s="35">
        <v>200</v>
      </c>
      <c r="C79" s="58" t="e">
        <f>(B79-#REF!-#REF!-#REF!-#REF!-#REF!)</f>
        <v>#REF!</v>
      </c>
      <c r="D79" s="32" t="s">
        <v>410</v>
      </c>
      <c r="E79" s="32" t="s">
        <v>514</v>
      </c>
      <c r="F79" s="49">
        <v>0.89</v>
      </c>
      <c r="G79" s="43">
        <v>178</v>
      </c>
    </row>
    <row r="80" spans="1:7">
      <c r="A80" s="32" t="s">
        <v>515</v>
      </c>
      <c r="B80" s="35">
        <v>1000</v>
      </c>
      <c r="C80" s="58" t="e">
        <f>(B80-#REF!-#REF!-#REF!-#REF!-#REF!)</f>
        <v>#REF!</v>
      </c>
      <c r="D80" s="32" t="s">
        <v>410</v>
      </c>
      <c r="E80" s="32" t="s">
        <v>516</v>
      </c>
      <c r="F80" s="49">
        <v>0.19</v>
      </c>
      <c r="G80" s="43">
        <v>190</v>
      </c>
    </row>
    <row r="81" spans="1:7">
      <c r="A81" s="32" t="s">
        <v>517</v>
      </c>
      <c r="B81" s="35">
        <v>2000</v>
      </c>
      <c r="C81" s="58" t="e">
        <f>(B81-#REF!-#REF!-#REF!-#REF!-#REF!)</f>
        <v>#REF!</v>
      </c>
      <c r="D81" s="32" t="s">
        <v>410</v>
      </c>
      <c r="E81" s="32" t="s">
        <v>518</v>
      </c>
      <c r="F81" s="49">
        <v>0.45</v>
      </c>
      <c r="G81" s="43">
        <v>900</v>
      </c>
    </row>
    <row r="82" spans="1:7">
      <c r="A82" s="30" t="s">
        <v>414</v>
      </c>
      <c r="B82" s="39"/>
      <c r="C82" s="58"/>
      <c r="D82" s="33"/>
      <c r="E82" s="33"/>
      <c r="F82" s="53"/>
      <c r="G82" s="44">
        <v>22951.5</v>
      </c>
    </row>
    <row r="83" spans="1:7">
      <c r="A83" s="28"/>
      <c r="C83" s="58"/>
      <c r="D83" s="28"/>
      <c r="E83" s="28"/>
      <c r="F83" s="51"/>
      <c r="G83" s="45"/>
    </row>
    <row r="84" spans="1:7" ht="15" customHeight="1">
      <c r="A84" s="34" t="s">
        <v>377</v>
      </c>
      <c r="B84" s="27" t="s">
        <v>860</v>
      </c>
      <c r="C84" s="58"/>
      <c r="D84" s="29"/>
      <c r="E84" s="29"/>
      <c r="F84" s="29"/>
      <c r="G84" s="29"/>
    </row>
    <row r="85" spans="1:7">
      <c r="A85" s="30" t="s">
        <v>379</v>
      </c>
      <c r="B85" s="36" t="s">
        <v>380</v>
      </c>
      <c r="C85" s="58"/>
      <c r="D85" s="30" t="s">
        <v>381</v>
      </c>
      <c r="E85" s="30" t="s">
        <v>382</v>
      </c>
      <c r="F85" s="48" t="s">
        <v>383</v>
      </c>
      <c r="G85" s="42" t="s">
        <v>384</v>
      </c>
    </row>
    <row r="86" spans="1:7">
      <c r="A86" s="32" t="s">
        <v>519</v>
      </c>
      <c r="B86" s="35">
        <v>100</v>
      </c>
      <c r="C86" s="58" t="e">
        <f>(B86-#REF!-#REF!-#REF!-#REF!-#REF!)</f>
        <v>#REF!</v>
      </c>
      <c r="D86" s="32" t="s">
        <v>388</v>
      </c>
      <c r="E86" s="63" t="s">
        <v>871</v>
      </c>
      <c r="F86" s="49">
        <v>4.5</v>
      </c>
      <c r="G86" s="43">
        <v>450</v>
      </c>
    </row>
    <row r="87" spans="1:7">
      <c r="A87" s="32" t="s">
        <v>520</v>
      </c>
      <c r="B87" s="35">
        <v>1000</v>
      </c>
      <c r="C87" s="58" t="e">
        <f>(B87-#REF!-#REF!-#REF!-#REF!-#REF!)</f>
        <v>#REF!</v>
      </c>
      <c r="D87" s="32" t="s">
        <v>386</v>
      </c>
      <c r="E87" s="32" t="s">
        <v>521</v>
      </c>
      <c r="F87" s="49">
        <v>0.5</v>
      </c>
      <c r="G87" s="43">
        <v>500</v>
      </c>
    </row>
    <row r="88" spans="1:7">
      <c r="A88" s="32" t="s">
        <v>522</v>
      </c>
      <c r="B88" s="35">
        <v>2000</v>
      </c>
      <c r="C88" s="58" t="e">
        <f>(B88-#REF!-#REF!-#REF!-#REF!-#REF!)</f>
        <v>#REF!</v>
      </c>
      <c r="D88" s="32" t="s">
        <v>386</v>
      </c>
      <c r="E88" s="32" t="s">
        <v>523</v>
      </c>
      <c r="F88" s="49">
        <v>0.22</v>
      </c>
      <c r="G88" s="43">
        <v>440</v>
      </c>
    </row>
    <row r="89" spans="1:7">
      <c r="A89" s="32" t="s">
        <v>524</v>
      </c>
      <c r="B89" s="35">
        <v>500</v>
      </c>
      <c r="C89" s="58" t="e">
        <f>(B89-#REF!-#REF!-#REF!-#REF!-#REF!)</f>
        <v>#REF!</v>
      </c>
      <c r="D89" s="32" t="s">
        <v>388</v>
      </c>
      <c r="E89" s="32" t="s">
        <v>525</v>
      </c>
      <c r="F89" s="49">
        <v>3.18</v>
      </c>
      <c r="G89" s="43">
        <v>1590</v>
      </c>
    </row>
    <row r="90" spans="1:7">
      <c r="A90" s="32" t="s">
        <v>526</v>
      </c>
      <c r="B90" s="35">
        <v>40000</v>
      </c>
      <c r="C90" s="58" t="e">
        <f>(B90-#REF!-#REF!-#REF!-#REF!-#REF!)</f>
        <v>#REF!</v>
      </c>
      <c r="D90" s="32" t="s">
        <v>386</v>
      </c>
      <c r="E90" s="32" t="s">
        <v>527</v>
      </c>
      <c r="F90" s="49">
        <v>0.03</v>
      </c>
      <c r="G90" s="43">
        <v>1200</v>
      </c>
    </row>
    <row r="91" spans="1:7">
      <c r="A91" s="32" t="s">
        <v>528</v>
      </c>
      <c r="B91" s="35">
        <v>100</v>
      </c>
      <c r="C91" s="58" t="e">
        <f>(B91-#REF!-#REF!-#REF!-#REF!-#REF!)</f>
        <v>#REF!</v>
      </c>
      <c r="D91" s="32" t="s">
        <v>388</v>
      </c>
      <c r="E91" s="32" t="s">
        <v>529</v>
      </c>
      <c r="F91" s="49">
        <v>6.67</v>
      </c>
      <c r="G91" s="43">
        <v>667</v>
      </c>
    </row>
    <row r="92" spans="1:7">
      <c r="A92" s="32" t="s">
        <v>530</v>
      </c>
      <c r="B92" s="35">
        <v>3000</v>
      </c>
      <c r="C92" s="58" t="e">
        <f>(B92-#REF!-#REF!-#REF!-#REF!-#REF!)</f>
        <v>#REF!</v>
      </c>
      <c r="D92" s="32" t="s">
        <v>386</v>
      </c>
      <c r="E92" s="32" t="s">
        <v>531</v>
      </c>
      <c r="F92" s="49">
        <v>0.13</v>
      </c>
      <c r="G92" s="43">
        <v>390</v>
      </c>
    </row>
    <row r="93" spans="1:7">
      <c r="A93" s="32" t="s">
        <v>532</v>
      </c>
      <c r="B93" s="35">
        <v>100</v>
      </c>
      <c r="C93" s="58" t="e">
        <f>(B93-#REF!-#REF!-#REF!-#REF!-#REF!)</f>
        <v>#REF!</v>
      </c>
      <c r="D93" s="32" t="s">
        <v>388</v>
      </c>
      <c r="E93" s="32" t="s">
        <v>533</v>
      </c>
      <c r="F93" s="49">
        <v>2.17</v>
      </c>
      <c r="G93" s="43">
        <v>217</v>
      </c>
    </row>
    <row r="94" spans="1:7">
      <c r="A94" s="32" t="s">
        <v>534</v>
      </c>
      <c r="B94" s="35">
        <v>100</v>
      </c>
      <c r="C94" s="58" t="e">
        <f>(B94-#REF!-#REF!-#REF!-#REF!-#REF!)</f>
        <v>#REF!</v>
      </c>
      <c r="D94" s="32" t="s">
        <v>388</v>
      </c>
      <c r="E94" s="32" t="s">
        <v>535</v>
      </c>
      <c r="F94" s="49">
        <v>6.95</v>
      </c>
      <c r="G94" s="43">
        <v>695</v>
      </c>
    </row>
    <row r="95" spans="1:7">
      <c r="A95" s="32" t="s">
        <v>536</v>
      </c>
      <c r="B95" s="35">
        <v>1000</v>
      </c>
      <c r="C95" s="58" t="e">
        <f>(B95-#REF!-#REF!-#REF!-#REF!-#REF!)</f>
        <v>#REF!</v>
      </c>
      <c r="D95" s="32" t="s">
        <v>386</v>
      </c>
      <c r="E95" s="32" t="s">
        <v>537</v>
      </c>
      <c r="F95" s="49">
        <v>0.17</v>
      </c>
      <c r="G95" s="43">
        <v>170</v>
      </c>
    </row>
    <row r="96" spans="1:7">
      <c r="A96" s="32" t="s">
        <v>538</v>
      </c>
      <c r="B96" s="35">
        <v>20000</v>
      </c>
      <c r="C96" s="58" t="e">
        <f>(B96-#REF!-#REF!-#REF!-#REF!-#REF!)</f>
        <v>#REF!</v>
      </c>
      <c r="D96" s="32" t="s">
        <v>386</v>
      </c>
      <c r="E96" s="32" t="s">
        <v>539</v>
      </c>
      <c r="F96" s="49">
        <v>0.1</v>
      </c>
      <c r="G96" s="43">
        <v>2000</v>
      </c>
    </row>
    <row r="97" spans="1:7">
      <c r="A97" s="32" t="s">
        <v>540</v>
      </c>
      <c r="B97" s="35">
        <v>300</v>
      </c>
      <c r="C97" s="58" t="e">
        <f>(B97-#REF!-#REF!-#REF!-#REF!-#REF!)</f>
        <v>#REF!</v>
      </c>
      <c r="D97" s="32" t="s">
        <v>410</v>
      </c>
      <c r="E97" s="32" t="s">
        <v>541</v>
      </c>
      <c r="F97" s="49">
        <v>1.6</v>
      </c>
      <c r="G97" s="43">
        <v>480</v>
      </c>
    </row>
    <row r="98" spans="1:7">
      <c r="A98" s="32" t="s">
        <v>542</v>
      </c>
      <c r="B98" s="35">
        <v>1000</v>
      </c>
      <c r="C98" s="58" t="e">
        <f>(B98-#REF!-#REF!-#REF!-#REF!-#REF!)</f>
        <v>#REF!</v>
      </c>
      <c r="D98" s="32" t="s">
        <v>386</v>
      </c>
      <c r="E98" s="32" t="s">
        <v>543</v>
      </c>
      <c r="F98" s="49">
        <v>0.2</v>
      </c>
      <c r="G98" s="43">
        <v>200</v>
      </c>
    </row>
    <row r="99" spans="1:7">
      <c r="A99" s="32" t="s">
        <v>544</v>
      </c>
      <c r="B99" s="35">
        <v>10000</v>
      </c>
      <c r="C99" s="58" t="e">
        <f>(B99-#REF!-#REF!-#REF!-#REF!-#REF!)</f>
        <v>#REF!</v>
      </c>
      <c r="D99" s="32" t="s">
        <v>386</v>
      </c>
      <c r="E99" s="32" t="s">
        <v>545</v>
      </c>
      <c r="F99" s="49">
        <v>0.04</v>
      </c>
      <c r="G99" s="43">
        <v>400</v>
      </c>
    </row>
    <row r="100" spans="1:7">
      <c r="A100" s="32" t="s">
        <v>546</v>
      </c>
      <c r="B100" s="35">
        <v>1000</v>
      </c>
      <c r="C100" s="58" t="e">
        <f>(B100-#REF!-#REF!-#REF!-#REF!-#REF!)</f>
        <v>#REF!</v>
      </c>
      <c r="D100" s="32" t="s">
        <v>386</v>
      </c>
      <c r="E100" s="32" t="s">
        <v>547</v>
      </c>
      <c r="F100" s="49">
        <v>0.4</v>
      </c>
      <c r="G100" s="43">
        <v>400</v>
      </c>
    </row>
    <row r="101" spans="1:7">
      <c r="A101" s="32" t="s">
        <v>548</v>
      </c>
      <c r="B101" s="35">
        <v>30000</v>
      </c>
      <c r="C101" s="58" t="e">
        <f>(B101-#REF!-#REF!-#REF!-#REF!-#REF!)</f>
        <v>#REF!</v>
      </c>
      <c r="D101" s="32" t="s">
        <v>386</v>
      </c>
      <c r="E101" s="32" t="s">
        <v>549</v>
      </c>
      <c r="F101" s="49">
        <v>0.05</v>
      </c>
      <c r="G101" s="43">
        <v>1500</v>
      </c>
    </row>
    <row r="102" spans="1:7">
      <c r="A102" s="32" t="s">
        <v>550</v>
      </c>
      <c r="B102" s="35">
        <v>4000</v>
      </c>
      <c r="C102" s="58" t="e">
        <f>(B102-#REF!-#REF!-#REF!-#REF!-#REF!)</f>
        <v>#REF!</v>
      </c>
      <c r="D102" s="32" t="s">
        <v>386</v>
      </c>
      <c r="E102" s="32" t="s">
        <v>551</v>
      </c>
      <c r="F102" s="49">
        <v>0.13</v>
      </c>
      <c r="G102" s="43">
        <v>520</v>
      </c>
    </row>
    <row r="103" spans="1:7">
      <c r="A103" s="32" t="s">
        <v>552</v>
      </c>
      <c r="B103" s="35">
        <v>2000</v>
      </c>
      <c r="C103" s="58" t="e">
        <f>(B103-#REF!-#REF!-#REF!-#REF!-#REF!)</f>
        <v>#REF!</v>
      </c>
      <c r="D103" s="32" t="s">
        <v>386</v>
      </c>
      <c r="E103" s="32" t="s">
        <v>553</v>
      </c>
      <c r="F103" s="49">
        <v>0.09</v>
      </c>
      <c r="G103" s="43">
        <v>180</v>
      </c>
    </row>
    <row r="104" spans="1:7">
      <c r="A104" s="32" t="s">
        <v>554</v>
      </c>
      <c r="B104" s="35">
        <v>10000</v>
      </c>
      <c r="C104" s="58" t="e">
        <f>(B104-#REF!-#REF!-#REF!-#REF!-#REF!)</f>
        <v>#REF!</v>
      </c>
      <c r="D104" s="32" t="s">
        <v>386</v>
      </c>
      <c r="E104" s="32" t="s">
        <v>555</v>
      </c>
      <c r="F104" s="49">
        <v>0.12</v>
      </c>
      <c r="G104" s="43">
        <v>1200</v>
      </c>
    </row>
    <row r="105" spans="1:7">
      <c r="A105" s="32" t="s">
        <v>556</v>
      </c>
      <c r="B105" s="35">
        <v>50000</v>
      </c>
      <c r="C105" s="58" t="e">
        <f>(B105-#REF!-#REF!-#REF!-#REF!-#REF!)</f>
        <v>#REF!</v>
      </c>
      <c r="D105" s="32" t="s">
        <v>386</v>
      </c>
      <c r="E105" s="32" t="s">
        <v>557</v>
      </c>
      <c r="F105" s="49">
        <v>0.1</v>
      </c>
      <c r="G105" s="43">
        <v>5000</v>
      </c>
    </row>
    <row r="106" spans="1:7">
      <c r="A106" s="32" t="s">
        <v>558</v>
      </c>
      <c r="B106" s="35">
        <v>2000</v>
      </c>
      <c r="C106" s="58" t="e">
        <f>(B106-#REF!-#REF!-#REF!-#REF!-#REF!)</f>
        <v>#REF!</v>
      </c>
      <c r="D106" s="32" t="s">
        <v>386</v>
      </c>
      <c r="E106" s="32" t="s">
        <v>559</v>
      </c>
      <c r="F106" s="49">
        <v>7.0000000000000007E-2</v>
      </c>
      <c r="G106" s="43">
        <v>140</v>
      </c>
    </row>
    <row r="107" spans="1:7">
      <c r="A107" s="32" t="s">
        <v>560</v>
      </c>
      <c r="B107" s="35">
        <v>1000</v>
      </c>
      <c r="C107" s="58" t="e">
        <f>(B107-#REF!-#REF!-#REF!-#REF!-#REF!)</f>
        <v>#REF!</v>
      </c>
      <c r="D107" s="32" t="s">
        <v>386</v>
      </c>
      <c r="E107" s="32" t="s">
        <v>561</v>
      </c>
      <c r="F107" s="49">
        <v>0.18</v>
      </c>
      <c r="G107" s="43">
        <v>180</v>
      </c>
    </row>
    <row r="108" spans="1:7">
      <c r="A108" s="32" t="s">
        <v>562</v>
      </c>
      <c r="B108" s="35">
        <v>4000</v>
      </c>
      <c r="C108" s="58" t="e">
        <f>(B108-#REF!-#REF!-#REF!-#REF!-#REF!)</f>
        <v>#REF!</v>
      </c>
      <c r="D108" s="32" t="s">
        <v>386</v>
      </c>
      <c r="E108" s="32" t="s">
        <v>563</v>
      </c>
      <c r="F108" s="49">
        <v>0.05</v>
      </c>
      <c r="G108" s="43">
        <v>200</v>
      </c>
    </row>
    <row r="109" spans="1:7">
      <c r="A109" s="32" t="s">
        <v>564</v>
      </c>
      <c r="B109" s="35">
        <v>100</v>
      </c>
      <c r="C109" s="58" t="e">
        <f>(B109-#REF!-#REF!-#REF!-#REF!-#REF!)</f>
        <v>#REF!</v>
      </c>
      <c r="D109" s="32" t="s">
        <v>388</v>
      </c>
      <c r="E109" s="32" t="s">
        <v>565</v>
      </c>
      <c r="F109" s="49">
        <v>6.8</v>
      </c>
      <c r="G109" s="43">
        <v>680</v>
      </c>
    </row>
    <row r="110" spans="1:7">
      <c r="A110" s="32" t="s">
        <v>566</v>
      </c>
      <c r="B110" s="35">
        <v>25000</v>
      </c>
      <c r="C110" s="58" t="e">
        <f>(B110-#REF!-#REF!-#REF!-#REF!-#REF!)</f>
        <v>#REF!</v>
      </c>
      <c r="D110" s="32" t="s">
        <v>386</v>
      </c>
      <c r="E110" s="32" t="s">
        <v>567</v>
      </c>
      <c r="F110" s="49">
        <v>0.1</v>
      </c>
      <c r="G110" s="43">
        <v>2500</v>
      </c>
    </row>
    <row r="111" spans="1:7">
      <c r="A111" s="32" t="s">
        <v>568</v>
      </c>
      <c r="B111" s="35">
        <v>1000</v>
      </c>
      <c r="C111" s="58" t="e">
        <f>(B111-#REF!-#REF!-#REF!-#REF!-#REF!)</f>
        <v>#REF!</v>
      </c>
      <c r="D111" s="32" t="s">
        <v>386</v>
      </c>
      <c r="E111" s="32" t="s">
        <v>569</v>
      </c>
      <c r="F111" s="49">
        <v>0.17</v>
      </c>
      <c r="G111" s="43">
        <v>170</v>
      </c>
    </row>
    <row r="112" spans="1:7">
      <c r="A112" s="32" t="s">
        <v>570</v>
      </c>
      <c r="B112" s="35">
        <v>100</v>
      </c>
      <c r="C112" s="58" t="e">
        <f>(B112-#REF!-#REF!-#REF!-#REF!-#REF!)</f>
        <v>#REF!</v>
      </c>
      <c r="D112" s="32" t="s">
        <v>388</v>
      </c>
      <c r="E112" s="32" t="s">
        <v>571</v>
      </c>
      <c r="F112" s="49">
        <v>1.04</v>
      </c>
      <c r="G112" s="43">
        <v>104</v>
      </c>
    </row>
    <row r="113" spans="1:7">
      <c r="A113" s="32" t="s">
        <v>572</v>
      </c>
      <c r="B113" s="35">
        <v>50</v>
      </c>
      <c r="C113" s="58" t="e">
        <f>(B113-#REF!-#REF!-#REF!-#REF!-#REF!)</f>
        <v>#REF!</v>
      </c>
      <c r="D113" s="32" t="s">
        <v>388</v>
      </c>
      <c r="E113" s="32" t="s">
        <v>573</v>
      </c>
      <c r="F113" s="49">
        <v>8.1999999999999993</v>
      </c>
      <c r="G113" s="43">
        <v>410</v>
      </c>
    </row>
    <row r="114" spans="1:7">
      <c r="A114" s="30" t="s">
        <v>414</v>
      </c>
      <c r="B114" s="39"/>
      <c r="C114" s="58"/>
      <c r="D114" s="33"/>
      <c r="E114" s="33"/>
      <c r="F114" s="53"/>
      <c r="G114" s="44">
        <v>22583</v>
      </c>
    </row>
    <row r="115" spans="1:7">
      <c r="A115" s="28"/>
      <c r="C115" s="58"/>
      <c r="D115" s="28"/>
      <c r="E115" s="28"/>
      <c r="F115" s="51"/>
      <c r="G115" s="45"/>
    </row>
    <row r="116" spans="1:7" ht="15" customHeight="1">
      <c r="A116" s="34" t="s">
        <v>377</v>
      </c>
      <c r="B116" s="27" t="s">
        <v>861</v>
      </c>
      <c r="C116" s="58"/>
      <c r="D116" s="29"/>
      <c r="E116" s="29"/>
      <c r="F116" s="29"/>
      <c r="G116" s="29"/>
    </row>
    <row r="117" spans="1:7">
      <c r="A117" s="30" t="s">
        <v>379</v>
      </c>
      <c r="B117" s="36" t="s">
        <v>380</v>
      </c>
      <c r="C117" s="58"/>
      <c r="D117" s="30" t="s">
        <v>381</v>
      </c>
      <c r="E117" s="30" t="s">
        <v>382</v>
      </c>
      <c r="F117" s="48" t="s">
        <v>383</v>
      </c>
      <c r="G117" s="42" t="s">
        <v>384</v>
      </c>
    </row>
    <row r="118" spans="1:7">
      <c r="A118" s="32" t="s">
        <v>574</v>
      </c>
      <c r="B118" s="35">
        <v>100</v>
      </c>
      <c r="C118" s="58" t="e">
        <f>(B118-#REF!-#REF!-#REF!-#REF!-#REF!)</f>
        <v>#REF!</v>
      </c>
      <c r="D118" s="32" t="s">
        <v>410</v>
      </c>
      <c r="E118" s="32" t="s">
        <v>575</v>
      </c>
      <c r="F118" s="49">
        <v>54.98</v>
      </c>
      <c r="G118" s="43">
        <v>5498</v>
      </c>
    </row>
    <row r="119" spans="1:7">
      <c r="A119" s="28"/>
      <c r="C119" s="58"/>
      <c r="D119" s="28"/>
      <c r="E119" s="28"/>
      <c r="F119" s="51"/>
      <c r="G119" s="45"/>
    </row>
    <row r="120" spans="1:7">
      <c r="A120" s="34" t="s">
        <v>377</v>
      </c>
      <c r="B120" s="27" t="s">
        <v>862</v>
      </c>
      <c r="C120" s="58"/>
      <c r="D120" s="29"/>
      <c r="E120" s="29"/>
      <c r="F120" s="29"/>
      <c r="G120" s="29"/>
    </row>
    <row r="121" spans="1:7">
      <c r="A121" s="30" t="s">
        <v>379</v>
      </c>
      <c r="B121" s="36" t="s">
        <v>380</v>
      </c>
      <c r="C121" s="58"/>
      <c r="D121" s="30" t="s">
        <v>381</v>
      </c>
      <c r="E121" s="30" t="s">
        <v>382</v>
      </c>
      <c r="F121" s="48" t="s">
        <v>383</v>
      </c>
      <c r="G121" s="42" t="s">
        <v>384</v>
      </c>
    </row>
    <row r="122" spans="1:7">
      <c r="A122" s="32" t="s">
        <v>576</v>
      </c>
      <c r="B122" s="35">
        <v>2000</v>
      </c>
      <c r="C122" s="58" t="e">
        <f>(B122-#REF!-#REF!-#REF!-#REF!-#REF!)</f>
        <v>#REF!</v>
      </c>
      <c r="D122" s="32" t="s">
        <v>386</v>
      </c>
      <c r="E122" s="32" t="s">
        <v>577</v>
      </c>
      <c r="F122" s="49">
        <v>0.12</v>
      </c>
      <c r="G122" s="43">
        <v>240</v>
      </c>
    </row>
    <row r="123" spans="1:7">
      <c r="A123" s="32" t="s">
        <v>578</v>
      </c>
      <c r="B123" s="35">
        <v>2000</v>
      </c>
      <c r="C123" s="58" t="e">
        <f>(B123-#REF!-#REF!-#REF!-#REF!-#REF!)</f>
        <v>#REF!</v>
      </c>
      <c r="D123" s="32" t="s">
        <v>386</v>
      </c>
      <c r="E123" s="32" t="s">
        <v>579</v>
      </c>
      <c r="F123" s="49">
        <v>0.69989999999999997</v>
      </c>
      <c r="G123" s="43">
        <v>1399.8</v>
      </c>
    </row>
    <row r="124" spans="1:7">
      <c r="A124" s="32" t="s">
        <v>580</v>
      </c>
      <c r="B124" s="35">
        <v>3000</v>
      </c>
      <c r="C124" s="58" t="e">
        <f>(B124-#REF!-#REF!-#REF!-#REF!-#REF!)</f>
        <v>#REF!</v>
      </c>
      <c r="D124" s="32" t="s">
        <v>386</v>
      </c>
      <c r="E124" s="32" t="s">
        <v>581</v>
      </c>
      <c r="F124" s="49">
        <v>0.49</v>
      </c>
      <c r="G124" s="43">
        <v>1470</v>
      </c>
    </row>
    <row r="125" spans="1:7">
      <c r="A125" s="32" t="s">
        <v>582</v>
      </c>
      <c r="B125" s="35">
        <v>2000</v>
      </c>
      <c r="C125" s="58" t="e">
        <f>(B125-#REF!-#REF!-#REF!-#REF!-#REF!)</f>
        <v>#REF!</v>
      </c>
      <c r="D125" s="32" t="s">
        <v>386</v>
      </c>
      <c r="E125" s="32" t="s">
        <v>583</v>
      </c>
      <c r="F125" s="49">
        <v>0.3</v>
      </c>
      <c r="G125" s="43">
        <v>600</v>
      </c>
    </row>
    <row r="126" spans="1:7">
      <c r="A126" s="32" t="s">
        <v>584</v>
      </c>
      <c r="B126" s="35">
        <v>100</v>
      </c>
      <c r="C126" s="58" t="e">
        <f>(B126-#REF!-#REF!-#REF!-#REF!-#REF!)</f>
        <v>#REF!</v>
      </c>
      <c r="D126" s="32" t="s">
        <v>388</v>
      </c>
      <c r="E126" s="32" t="s">
        <v>585</v>
      </c>
      <c r="F126" s="49">
        <v>11.395</v>
      </c>
      <c r="G126" s="43">
        <v>1139.5</v>
      </c>
    </row>
    <row r="127" spans="1:7">
      <c r="A127" s="32" t="s">
        <v>586</v>
      </c>
      <c r="B127" s="35">
        <v>500</v>
      </c>
      <c r="C127" s="58" t="e">
        <f>(B127-#REF!-#REF!-#REF!-#REF!-#REF!)</f>
        <v>#REF!</v>
      </c>
      <c r="D127" s="32" t="s">
        <v>386</v>
      </c>
      <c r="E127" s="32" t="s">
        <v>587</v>
      </c>
      <c r="F127" s="49">
        <v>0.05</v>
      </c>
      <c r="G127" s="43">
        <v>25</v>
      </c>
    </row>
    <row r="128" spans="1:7">
      <c r="A128" s="32" t="s">
        <v>588</v>
      </c>
      <c r="B128" s="35">
        <v>1000</v>
      </c>
      <c r="C128" s="58" t="e">
        <f>(B128-#REF!-#REF!-#REF!-#REF!-#REF!)</f>
        <v>#REF!</v>
      </c>
      <c r="D128" s="32" t="s">
        <v>388</v>
      </c>
      <c r="E128" s="32" t="s">
        <v>589</v>
      </c>
      <c r="F128" s="49">
        <v>1.1409</v>
      </c>
      <c r="G128" s="43">
        <v>1140.9000000000001</v>
      </c>
    </row>
    <row r="129" spans="1:7">
      <c r="A129" s="32" t="s">
        <v>590</v>
      </c>
      <c r="B129" s="35">
        <v>100</v>
      </c>
      <c r="C129" s="58" t="e">
        <f>(B129-#REF!-#REF!-#REF!-#REF!-#REF!)</f>
        <v>#REF!</v>
      </c>
      <c r="D129" s="32" t="s">
        <v>388</v>
      </c>
      <c r="E129" s="32" t="s">
        <v>591</v>
      </c>
      <c r="F129" s="49">
        <v>4.3499999999999996</v>
      </c>
      <c r="G129" s="43">
        <v>435</v>
      </c>
    </row>
    <row r="130" spans="1:7">
      <c r="A130" s="32" t="s">
        <v>592</v>
      </c>
      <c r="B130" s="35">
        <v>1000</v>
      </c>
      <c r="C130" s="58" t="e">
        <f>(B130-#REF!-#REF!-#REF!-#REF!-#REF!)</f>
        <v>#REF!</v>
      </c>
      <c r="D130" s="32" t="s">
        <v>386</v>
      </c>
      <c r="E130" s="32" t="s">
        <v>593</v>
      </c>
      <c r="F130" s="49">
        <v>0.28999999999999998</v>
      </c>
      <c r="G130" s="43">
        <v>290</v>
      </c>
    </row>
    <row r="131" spans="1:7">
      <c r="A131" s="32" t="s">
        <v>594</v>
      </c>
      <c r="B131" s="35">
        <v>1000</v>
      </c>
      <c r="C131" s="58" t="e">
        <f>(B131-#REF!-#REF!-#REF!-#REF!-#REF!)</f>
        <v>#REF!</v>
      </c>
      <c r="D131" s="32" t="s">
        <v>386</v>
      </c>
      <c r="E131" s="32" t="s">
        <v>595</v>
      </c>
      <c r="F131" s="49">
        <v>5.9999000000000002</v>
      </c>
      <c r="G131" s="43">
        <v>5999.9</v>
      </c>
    </row>
    <row r="132" spans="1:7">
      <c r="A132" s="32" t="s">
        <v>596</v>
      </c>
      <c r="B132" s="35">
        <v>15000</v>
      </c>
      <c r="C132" s="58" t="e">
        <f>(B132-#REF!-#REF!-#REF!-#REF!-#REF!)</f>
        <v>#REF!</v>
      </c>
      <c r="D132" s="32" t="s">
        <v>386</v>
      </c>
      <c r="E132" s="32" t="s">
        <v>597</v>
      </c>
      <c r="F132" s="49">
        <v>0.15</v>
      </c>
      <c r="G132" s="43">
        <v>2250</v>
      </c>
    </row>
    <row r="133" spans="1:7">
      <c r="A133" s="32" t="s">
        <v>598</v>
      </c>
      <c r="B133" s="35">
        <v>200</v>
      </c>
      <c r="C133" s="58" t="e">
        <f>(B133-#REF!-#REF!-#REF!-#REF!-#REF!)</f>
        <v>#REF!</v>
      </c>
      <c r="D133" s="32" t="s">
        <v>388</v>
      </c>
      <c r="E133" s="32" t="s">
        <v>599</v>
      </c>
      <c r="F133" s="49">
        <v>3.5</v>
      </c>
      <c r="G133" s="43">
        <v>700</v>
      </c>
    </row>
    <row r="134" spans="1:7">
      <c r="A134" s="32" t="s">
        <v>600</v>
      </c>
      <c r="B134" s="35">
        <v>10000</v>
      </c>
      <c r="C134" s="58" t="e">
        <f>(B134-#REF!-#REF!-#REF!-#REF!-#REF!)</f>
        <v>#REF!</v>
      </c>
      <c r="D134" s="32" t="s">
        <v>386</v>
      </c>
      <c r="E134" s="32" t="s">
        <v>601</v>
      </c>
      <c r="F134" s="49">
        <v>0.47</v>
      </c>
      <c r="G134" s="43">
        <v>4700</v>
      </c>
    </row>
    <row r="135" spans="1:7">
      <c r="A135" s="32" t="s">
        <v>602</v>
      </c>
      <c r="B135" s="35">
        <v>500</v>
      </c>
      <c r="C135" s="58" t="e">
        <f>(B135-#REF!-#REF!-#REF!-#REF!-#REF!)</f>
        <v>#REF!</v>
      </c>
      <c r="D135" s="32" t="s">
        <v>386</v>
      </c>
      <c r="E135" s="32" t="s">
        <v>603</v>
      </c>
      <c r="F135" s="49">
        <v>0.37</v>
      </c>
      <c r="G135" s="43">
        <v>185</v>
      </c>
    </row>
    <row r="136" spans="1:7">
      <c r="A136" s="32" t="s">
        <v>604</v>
      </c>
      <c r="B136" s="35">
        <v>80000</v>
      </c>
      <c r="C136" s="58" t="e">
        <f>(B136-#REF!-#REF!-#REF!-#REF!-#REF!)</f>
        <v>#REF!</v>
      </c>
      <c r="D136" s="32" t="s">
        <v>386</v>
      </c>
      <c r="E136" s="32" t="s">
        <v>605</v>
      </c>
      <c r="F136" s="49">
        <v>3.09E-2</v>
      </c>
      <c r="G136" s="43">
        <v>2472</v>
      </c>
    </row>
    <row r="137" spans="1:7">
      <c r="A137" s="32" t="s">
        <v>606</v>
      </c>
      <c r="B137" s="35">
        <v>4000</v>
      </c>
      <c r="C137" s="58" t="e">
        <f>(B137-#REF!-#REF!-#REF!-#REF!-#REF!)</f>
        <v>#REF!</v>
      </c>
      <c r="D137" s="32" t="s">
        <v>386</v>
      </c>
      <c r="E137" s="32" t="s">
        <v>607</v>
      </c>
      <c r="F137" s="49">
        <v>0.88</v>
      </c>
      <c r="G137" s="43">
        <v>3520</v>
      </c>
    </row>
    <row r="138" spans="1:7">
      <c r="A138" s="32" t="s">
        <v>608</v>
      </c>
      <c r="B138" s="35">
        <v>10000</v>
      </c>
      <c r="C138" s="58" t="e">
        <f>(B138-#REF!-#REF!-#REF!-#REF!-#REF!)</f>
        <v>#REF!</v>
      </c>
      <c r="D138" s="32" t="s">
        <v>386</v>
      </c>
      <c r="E138" s="32" t="s">
        <v>609</v>
      </c>
      <c r="F138" s="49">
        <v>0.05</v>
      </c>
      <c r="G138" s="43">
        <v>500</v>
      </c>
    </row>
    <row r="139" spans="1:7">
      <c r="A139" s="32" t="s">
        <v>610</v>
      </c>
      <c r="B139" s="35">
        <v>3000</v>
      </c>
      <c r="C139" s="58" t="e">
        <f>(B139-#REF!-#REF!-#REF!-#REF!-#REF!)</f>
        <v>#REF!</v>
      </c>
      <c r="D139" s="32" t="s">
        <v>386</v>
      </c>
      <c r="E139" s="32" t="s">
        <v>611</v>
      </c>
      <c r="F139" s="49">
        <v>7.0000000000000007E-2</v>
      </c>
      <c r="G139" s="43">
        <v>210</v>
      </c>
    </row>
    <row r="140" spans="1:7">
      <c r="A140" s="32" t="s">
        <v>612</v>
      </c>
      <c r="B140" s="35">
        <v>50</v>
      </c>
      <c r="C140" s="58" t="e">
        <f>(B140-#REF!-#REF!-#REF!-#REF!-#REF!)</f>
        <v>#REF!</v>
      </c>
      <c r="D140" s="32" t="s">
        <v>410</v>
      </c>
      <c r="E140" s="32" t="s">
        <v>613</v>
      </c>
      <c r="F140" s="49">
        <v>5.98</v>
      </c>
      <c r="G140" s="43">
        <v>299</v>
      </c>
    </row>
    <row r="141" spans="1:7">
      <c r="A141" s="32" t="s">
        <v>614</v>
      </c>
      <c r="B141" s="35">
        <v>3000</v>
      </c>
      <c r="C141" s="58" t="e">
        <f>(B141-#REF!-#REF!-#REF!-#REF!-#REF!)</f>
        <v>#REF!</v>
      </c>
      <c r="D141" s="32" t="s">
        <v>615</v>
      </c>
      <c r="E141" s="32" t="s">
        <v>616</v>
      </c>
      <c r="F141" s="49">
        <v>0.2099</v>
      </c>
      <c r="G141" s="43">
        <v>629.70000000000005</v>
      </c>
    </row>
    <row r="142" spans="1:7">
      <c r="A142" s="32" t="s">
        <v>617</v>
      </c>
      <c r="B142" s="35">
        <v>30000</v>
      </c>
      <c r="C142" s="58" t="e">
        <f>(B142-#REF!-#REF!-#REF!-#REF!-#REF!)</f>
        <v>#REF!</v>
      </c>
      <c r="D142" s="32" t="s">
        <v>386</v>
      </c>
      <c r="E142" s="32" t="s">
        <v>618</v>
      </c>
      <c r="F142" s="49">
        <v>0.06</v>
      </c>
      <c r="G142" s="43">
        <v>1800</v>
      </c>
    </row>
    <row r="143" spans="1:7">
      <c r="A143" s="32" t="s">
        <v>619</v>
      </c>
      <c r="B143" s="35">
        <v>20000</v>
      </c>
      <c r="C143" s="58" t="e">
        <f>(B143-#REF!-#REF!-#REF!-#REF!-#REF!)</f>
        <v>#REF!</v>
      </c>
      <c r="D143" s="32" t="s">
        <v>386</v>
      </c>
      <c r="E143" s="32" t="s">
        <v>620</v>
      </c>
      <c r="F143" s="49">
        <v>0.13</v>
      </c>
      <c r="G143" s="43">
        <v>2600</v>
      </c>
    </row>
    <row r="144" spans="1:7">
      <c r="A144" s="32" t="s">
        <v>621</v>
      </c>
      <c r="B144" s="35">
        <v>2000</v>
      </c>
      <c r="C144" s="58" t="e">
        <f>(B144-#REF!-#REF!-#REF!-#REF!-#REF!)</f>
        <v>#REF!</v>
      </c>
      <c r="D144" s="32" t="s">
        <v>386</v>
      </c>
      <c r="E144" s="32" t="s">
        <v>622</v>
      </c>
      <c r="F144" s="49">
        <v>0.09</v>
      </c>
      <c r="G144" s="43">
        <v>180</v>
      </c>
    </row>
    <row r="145" spans="1:7">
      <c r="A145" s="32" t="s">
        <v>623</v>
      </c>
      <c r="B145" s="35">
        <v>6000</v>
      </c>
      <c r="C145" s="58" t="e">
        <f>(B145-#REF!-#REF!-#REF!-#REF!-#REF!)</f>
        <v>#REF!</v>
      </c>
      <c r="D145" s="32" t="s">
        <v>386</v>
      </c>
      <c r="E145" s="32" t="s">
        <v>624</v>
      </c>
      <c r="F145" s="49">
        <v>0.13</v>
      </c>
      <c r="G145" s="43">
        <v>780</v>
      </c>
    </row>
    <row r="146" spans="1:7">
      <c r="A146" s="32" t="s">
        <v>625</v>
      </c>
      <c r="B146" s="35">
        <v>25000</v>
      </c>
      <c r="C146" s="58" t="e">
        <f>(B146-#REF!-#REF!-#REF!-#REF!-#REF!)</f>
        <v>#REF!</v>
      </c>
      <c r="D146" s="32" t="s">
        <v>386</v>
      </c>
      <c r="E146" s="32" t="s">
        <v>626</v>
      </c>
      <c r="F146" s="49">
        <v>7.0000000000000007E-2</v>
      </c>
      <c r="G146" s="43">
        <v>1750</v>
      </c>
    </row>
    <row r="147" spans="1:7">
      <c r="A147" s="32" t="s">
        <v>627</v>
      </c>
      <c r="B147" s="35">
        <v>50</v>
      </c>
      <c r="C147" s="58" t="e">
        <f>(B147-#REF!-#REF!-#REF!-#REF!-#REF!)</f>
        <v>#REF!</v>
      </c>
      <c r="D147" s="32" t="s">
        <v>388</v>
      </c>
      <c r="E147" s="32" t="s">
        <v>628</v>
      </c>
      <c r="F147" s="49">
        <v>39.899900000000002</v>
      </c>
      <c r="G147" s="43">
        <v>1995</v>
      </c>
    </row>
    <row r="148" spans="1:7">
      <c r="A148" s="32" t="s">
        <v>629</v>
      </c>
      <c r="B148" s="35">
        <v>100</v>
      </c>
      <c r="C148" s="58" t="e">
        <f>(B148-#REF!-#REF!-#REF!-#REF!-#REF!)</f>
        <v>#REF!</v>
      </c>
      <c r="D148" s="32" t="s">
        <v>388</v>
      </c>
      <c r="E148" s="32" t="s">
        <v>630</v>
      </c>
      <c r="F148" s="49">
        <v>6.9</v>
      </c>
      <c r="G148" s="43">
        <v>690</v>
      </c>
    </row>
    <row r="149" spans="1:7">
      <c r="A149" s="32" t="s">
        <v>631</v>
      </c>
      <c r="B149" s="35">
        <v>100</v>
      </c>
      <c r="C149" s="58" t="e">
        <f>(B149-#REF!-#REF!-#REF!-#REF!-#REF!)</f>
        <v>#REF!</v>
      </c>
      <c r="D149" s="32" t="s">
        <v>410</v>
      </c>
      <c r="E149" s="32" t="s">
        <v>632</v>
      </c>
      <c r="F149" s="49">
        <v>2.58</v>
      </c>
      <c r="G149" s="43">
        <v>258</v>
      </c>
    </row>
    <row r="150" spans="1:7">
      <c r="A150" s="32" t="s">
        <v>633</v>
      </c>
      <c r="B150" s="35">
        <v>200</v>
      </c>
      <c r="C150" s="58" t="e">
        <f>(B150-#REF!-#REF!-#REF!-#REF!-#REF!)</f>
        <v>#REF!</v>
      </c>
      <c r="D150" s="32" t="s">
        <v>410</v>
      </c>
      <c r="E150" s="32" t="s">
        <v>634</v>
      </c>
      <c r="F150" s="49">
        <v>1.58</v>
      </c>
      <c r="G150" s="43">
        <v>316</v>
      </c>
    </row>
    <row r="151" spans="1:7">
      <c r="A151" s="32" t="s">
        <v>635</v>
      </c>
      <c r="B151" s="35">
        <v>2000</v>
      </c>
      <c r="C151" s="58" t="e">
        <f>(B151-#REF!-#REF!-#REF!-#REF!-#REF!)</f>
        <v>#REF!</v>
      </c>
      <c r="D151" s="32" t="s">
        <v>410</v>
      </c>
      <c r="E151" s="32" t="s">
        <v>636</v>
      </c>
      <c r="F151" s="49">
        <v>2.64</v>
      </c>
      <c r="G151" s="43">
        <v>5280</v>
      </c>
    </row>
    <row r="152" spans="1:7">
      <c r="A152" s="32" t="s">
        <v>637</v>
      </c>
      <c r="B152" s="35">
        <v>6000</v>
      </c>
      <c r="C152" s="58" t="e">
        <f>(B152-#REF!-#REF!-#REF!-#REF!-#REF!)</f>
        <v>#REF!</v>
      </c>
      <c r="D152" s="32" t="s">
        <v>388</v>
      </c>
      <c r="E152" s="32" t="s">
        <v>638</v>
      </c>
      <c r="F152" s="49">
        <v>3.17</v>
      </c>
      <c r="G152" s="43">
        <v>19020</v>
      </c>
    </row>
    <row r="153" spans="1:7">
      <c r="A153" s="32" t="s">
        <v>639</v>
      </c>
      <c r="B153" s="35">
        <v>6000</v>
      </c>
      <c r="C153" s="58" t="e">
        <f>(B153-#REF!-#REF!-#REF!-#REF!-#REF!)</f>
        <v>#REF!</v>
      </c>
      <c r="D153" s="32" t="s">
        <v>388</v>
      </c>
      <c r="E153" s="32" t="s">
        <v>640</v>
      </c>
      <c r="F153" s="49">
        <v>3.18</v>
      </c>
      <c r="G153" s="43">
        <v>19080</v>
      </c>
    </row>
    <row r="154" spans="1:7">
      <c r="A154" s="32" t="s">
        <v>641</v>
      </c>
      <c r="B154" s="35">
        <v>2000</v>
      </c>
      <c r="C154" s="58" t="e">
        <f>(B154-#REF!-#REF!-#REF!-#REF!-#REF!)</f>
        <v>#REF!</v>
      </c>
      <c r="D154" s="32" t="s">
        <v>388</v>
      </c>
      <c r="E154" s="32" t="s">
        <v>642</v>
      </c>
      <c r="F154" s="49">
        <v>2.83</v>
      </c>
      <c r="G154" s="43">
        <v>5660</v>
      </c>
    </row>
    <row r="155" spans="1:7">
      <c r="A155" s="32" t="s">
        <v>643</v>
      </c>
      <c r="B155" s="35">
        <v>200</v>
      </c>
      <c r="C155" s="58" t="e">
        <f>(B155-#REF!-#REF!-#REF!-#REF!-#REF!)</f>
        <v>#REF!</v>
      </c>
      <c r="D155" s="32" t="s">
        <v>410</v>
      </c>
      <c r="E155" s="32" t="s">
        <v>644</v>
      </c>
      <c r="F155" s="49">
        <v>0.72</v>
      </c>
      <c r="G155" s="43">
        <v>144</v>
      </c>
    </row>
    <row r="156" spans="1:7">
      <c r="A156" s="32" t="s">
        <v>645</v>
      </c>
      <c r="B156" s="35">
        <v>200</v>
      </c>
      <c r="C156" s="58" t="e">
        <f>(B156-#REF!-#REF!-#REF!-#REF!-#REF!)</f>
        <v>#REF!</v>
      </c>
      <c r="D156" s="32" t="s">
        <v>410</v>
      </c>
      <c r="E156" s="32" t="s">
        <v>646</v>
      </c>
      <c r="F156" s="49">
        <v>1.17</v>
      </c>
      <c r="G156" s="43">
        <v>234</v>
      </c>
    </row>
    <row r="157" spans="1:7">
      <c r="A157" s="32" t="s">
        <v>647</v>
      </c>
      <c r="B157" s="35">
        <v>1000</v>
      </c>
      <c r="C157" s="58" t="e">
        <f>(B157-#REF!-#REF!-#REF!-#REF!-#REF!)</f>
        <v>#REF!</v>
      </c>
      <c r="D157" s="32" t="s">
        <v>648</v>
      </c>
      <c r="E157" s="32" t="s">
        <v>649</v>
      </c>
      <c r="F157" s="49">
        <v>1.36</v>
      </c>
      <c r="G157" s="43">
        <v>1360</v>
      </c>
    </row>
    <row r="158" spans="1:7">
      <c r="A158" s="32" t="s">
        <v>650</v>
      </c>
      <c r="B158" s="35">
        <v>25</v>
      </c>
      <c r="C158" s="58" t="e">
        <f>(B158-#REF!-#REF!-#REF!-#REF!-#REF!)</f>
        <v>#REF!</v>
      </c>
      <c r="D158" s="32" t="s">
        <v>651</v>
      </c>
      <c r="E158" s="32" t="s">
        <v>652</v>
      </c>
      <c r="F158" s="49">
        <v>14.39</v>
      </c>
      <c r="G158" s="43">
        <v>359.75</v>
      </c>
    </row>
    <row r="159" spans="1:7">
      <c r="A159" s="32" t="s">
        <v>653</v>
      </c>
      <c r="B159" s="35">
        <v>300</v>
      </c>
      <c r="C159" s="58" t="e">
        <f>(B159-#REF!-#REF!-#REF!-#REF!-#REF!)</f>
        <v>#REF!</v>
      </c>
      <c r="D159" s="32" t="s">
        <v>651</v>
      </c>
      <c r="E159" s="32" t="s">
        <v>654</v>
      </c>
      <c r="F159" s="49">
        <v>1.74</v>
      </c>
      <c r="G159" s="43">
        <v>522</v>
      </c>
    </row>
    <row r="160" spans="1:7">
      <c r="A160" s="32" t="s">
        <v>655</v>
      </c>
      <c r="B160" s="35">
        <v>200</v>
      </c>
      <c r="C160" s="58" t="e">
        <f>(B160-#REF!-#REF!-#REF!-#REF!-#REF!)</f>
        <v>#REF!</v>
      </c>
      <c r="D160" s="32" t="s">
        <v>651</v>
      </c>
      <c r="E160" s="32" t="s">
        <v>656</v>
      </c>
      <c r="F160" s="49">
        <v>2.59</v>
      </c>
      <c r="G160" s="43">
        <v>518</v>
      </c>
    </row>
    <row r="161" spans="1:7">
      <c r="A161" s="32" t="s">
        <v>657</v>
      </c>
      <c r="B161" s="35">
        <v>100</v>
      </c>
      <c r="C161" s="58" t="e">
        <f>(B161-#REF!-#REF!-#REF!-#REF!-#REF!)</f>
        <v>#REF!</v>
      </c>
      <c r="D161" s="32" t="s">
        <v>651</v>
      </c>
      <c r="E161" s="32" t="s">
        <v>658</v>
      </c>
      <c r="F161" s="49">
        <v>2.5499999999999998</v>
      </c>
      <c r="G161" s="43">
        <v>255</v>
      </c>
    </row>
    <row r="162" spans="1:7">
      <c r="A162" s="32" t="s">
        <v>659</v>
      </c>
      <c r="B162" s="35">
        <v>100</v>
      </c>
      <c r="C162" s="58" t="e">
        <f>(B162-#REF!-#REF!-#REF!-#REF!-#REF!)</f>
        <v>#REF!</v>
      </c>
      <c r="D162" s="32" t="s">
        <v>651</v>
      </c>
      <c r="E162" s="32" t="s">
        <v>660</v>
      </c>
      <c r="F162" s="49">
        <v>1.88</v>
      </c>
      <c r="G162" s="43">
        <v>188</v>
      </c>
    </row>
    <row r="163" spans="1:7">
      <c r="A163" s="32" t="s">
        <v>661</v>
      </c>
      <c r="B163" s="35">
        <v>400</v>
      </c>
      <c r="C163" s="58" t="e">
        <f>(B163-#REF!-#REF!-#REF!-#REF!-#REF!)</f>
        <v>#REF!</v>
      </c>
      <c r="D163" s="32" t="s">
        <v>651</v>
      </c>
      <c r="E163" s="32" t="s">
        <v>662</v>
      </c>
      <c r="F163" s="49">
        <v>0.66400000000000003</v>
      </c>
      <c r="G163" s="43">
        <v>265.60000000000002</v>
      </c>
    </row>
    <row r="164" spans="1:7">
      <c r="A164" s="32" t="s">
        <v>663</v>
      </c>
      <c r="B164" s="35">
        <v>3000</v>
      </c>
      <c r="C164" s="58" t="e">
        <f>(B164-#REF!-#REF!-#REF!-#REF!-#REF!)</f>
        <v>#REF!</v>
      </c>
      <c r="D164" s="32" t="s">
        <v>410</v>
      </c>
      <c r="E164" s="32" t="s">
        <v>664</v>
      </c>
      <c r="F164" s="49">
        <v>4.0998999999999999</v>
      </c>
      <c r="G164" s="43">
        <v>12299.7</v>
      </c>
    </row>
    <row r="165" spans="1:7">
      <c r="A165" s="32" t="s">
        <v>665</v>
      </c>
      <c r="B165" s="35">
        <v>3000</v>
      </c>
      <c r="C165" s="58" t="e">
        <f>(B165-#REF!-#REF!-#REF!-#REF!-#REF!)</f>
        <v>#REF!</v>
      </c>
      <c r="D165" s="32" t="s">
        <v>410</v>
      </c>
      <c r="E165" s="32" t="s">
        <v>666</v>
      </c>
      <c r="F165" s="49">
        <v>5.0890000000000004</v>
      </c>
      <c r="G165" s="43">
        <v>15267</v>
      </c>
    </row>
    <row r="166" spans="1:7">
      <c r="A166" s="32" t="s">
        <v>667</v>
      </c>
      <c r="B166" s="35">
        <v>144</v>
      </c>
      <c r="C166" s="58" t="e">
        <f>(B166-#REF!-#REF!-#REF!-#REF!-#REF!)</f>
        <v>#REF!</v>
      </c>
      <c r="D166" s="32" t="s">
        <v>388</v>
      </c>
      <c r="E166" s="32" t="s">
        <v>668</v>
      </c>
      <c r="F166" s="49">
        <v>288</v>
      </c>
      <c r="G166" s="43">
        <v>41472</v>
      </c>
    </row>
    <row r="167" spans="1:7">
      <c r="A167" s="32" t="s">
        <v>669</v>
      </c>
      <c r="B167" s="35">
        <v>144</v>
      </c>
      <c r="C167" s="58" t="e">
        <f>(B167-#REF!-#REF!-#REF!-#REF!-#REF!)</f>
        <v>#REF!</v>
      </c>
      <c r="D167" s="32" t="s">
        <v>410</v>
      </c>
      <c r="E167" s="32" t="s">
        <v>670</v>
      </c>
      <c r="F167" s="49">
        <v>53.59</v>
      </c>
      <c r="G167" s="43">
        <v>7716.96</v>
      </c>
    </row>
    <row r="168" spans="1:7">
      <c r="A168" s="32" t="s">
        <v>671</v>
      </c>
      <c r="B168" s="35">
        <v>500</v>
      </c>
      <c r="C168" s="58" t="e">
        <f>(B168-#REF!-#REF!-#REF!-#REF!-#REF!)</f>
        <v>#REF!</v>
      </c>
      <c r="D168" s="32" t="s">
        <v>410</v>
      </c>
      <c r="E168" s="32" t="s">
        <v>672</v>
      </c>
      <c r="F168" s="49">
        <v>0.94</v>
      </c>
      <c r="G168" s="43">
        <v>470</v>
      </c>
    </row>
    <row r="169" spans="1:7">
      <c r="A169" s="32" t="s">
        <v>673</v>
      </c>
      <c r="B169" s="35">
        <v>100</v>
      </c>
      <c r="C169" s="58" t="e">
        <f>(B169-#REF!-#REF!-#REF!-#REF!-#REF!)</f>
        <v>#REF!</v>
      </c>
      <c r="D169" s="32" t="s">
        <v>651</v>
      </c>
      <c r="E169" s="32" t="s">
        <v>674</v>
      </c>
      <c r="F169" s="49">
        <v>1.99</v>
      </c>
      <c r="G169" s="43">
        <v>199</v>
      </c>
    </row>
    <row r="170" spans="1:7">
      <c r="A170" s="32" t="s">
        <v>675</v>
      </c>
      <c r="B170" s="35">
        <v>100</v>
      </c>
      <c r="C170" s="58" t="e">
        <f>(B170-#REF!-#REF!-#REF!-#REF!-#REF!)</f>
        <v>#REF!</v>
      </c>
      <c r="D170" s="32" t="s">
        <v>410</v>
      </c>
      <c r="E170" s="32" t="s">
        <v>676</v>
      </c>
      <c r="F170" s="49">
        <v>2.4489999999999998</v>
      </c>
      <c r="G170" s="43">
        <v>244.9</v>
      </c>
    </row>
    <row r="171" spans="1:7">
      <c r="A171" s="32" t="s">
        <v>677</v>
      </c>
      <c r="B171" s="35">
        <v>600</v>
      </c>
      <c r="C171" s="58" t="e">
        <f>(B171-#REF!-#REF!-#REF!-#REF!-#REF!)</f>
        <v>#REF!</v>
      </c>
      <c r="D171" s="32" t="s">
        <v>410</v>
      </c>
      <c r="E171" s="32" t="s">
        <v>678</v>
      </c>
      <c r="F171" s="49">
        <v>2.98</v>
      </c>
      <c r="G171" s="43">
        <v>1788</v>
      </c>
    </row>
    <row r="172" spans="1:7">
      <c r="A172" s="32" t="s">
        <v>679</v>
      </c>
      <c r="B172" s="35">
        <v>100</v>
      </c>
      <c r="C172" s="58" t="e">
        <f>(B172-#REF!-#REF!-#REF!-#REF!-#REF!)</f>
        <v>#REF!</v>
      </c>
      <c r="D172" s="32" t="s">
        <v>410</v>
      </c>
      <c r="E172" s="32" t="s">
        <v>680</v>
      </c>
      <c r="F172" s="49">
        <v>0.99</v>
      </c>
      <c r="G172" s="43">
        <v>99</v>
      </c>
    </row>
    <row r="173" spans="1:7">
      <c r="A173" s="32" t="s">
        <v>681</v>
      </c>
      <c r="B173" s="35">
        <v>50</v>
      </c>
      <c r="C173" s="58" t="e">
        <f>(B173-#REF!-#REF!-#REF!-#REF!-#REF!)</f>
        <v>#REF!</v>
      </c>
      <c r="D173" s="32" t="s">
        <v>410</v>
      </c>
      <c r="E173" s="32" t="s">
        <v>682</v>
      </c>
      <c r="F173" s="49">
        <v>27.5</v>
      </c>
      <c r="G173" s="43">
        <v>1375</v>
      </c>
    </row>
    <row r="174" spans="1:7">
      <c r="A174" s="32" t="s">
        <v>683</v>
      </c>
      <c r="B174" s="35">
        <v>40000</v>
      </c>
      <c r="C174" s="58" t="e">
        <f>(B174-#REF!-#REF!-#REF!-#REF!-#REF!)</f>
        <v>#REF!</v>
      </c>
      <c r="D174" s="32" t="s">
        <v>410</v>
      </c>
      <c r="E174" s="32" t="s">
        <v>684</v>
      </c>
      <c r="F174" s="49">
        <v>0.11</v>
      </c>
      <c r="G174" s="43">
        <v>4400</v>
      </c>
    </row>
    <row r="175" spans="1:7">
      <c r="A175" s="32" t="s">
        <v>685</v>
      </c>
      <c r="B175" s="35">
        <v>5000</v>
      </c>
      <c r="C175" s="58" t="e">
        <f>(B175-#REF!-#REF!-#REF!-#REF!-#REF!)</f>
        <v>#REF!</v>
      </c>
      <c r="D175" s="32" t="s">
        <v>410</v>
      </c>
      <c r="E175" s="32" t="s">
        <v>686</v>
      </c>
      <c r="F175" s="49">
        <v>0.46</v>
      </c>
      <c r="G175" s="43">
        <v>2300</v>
      </c>
    </row>
    <row r="176" spans="1:7">
      <c r="A176" s="32" t="s">
        <v>687</v>
      </c>
      <c r="B176" s="35">
        <v>12</v>
      </c>
      <c r="C176" s="58" t="e">
        <f>(B176-#REF!-#REF!-#REF!-#REF!-#REF!)</f>
        <v>#REF!</v>
      </c>
      <c r="D176" s="32" t="s">
        <v>388</v>
      </c>
      <c r="E176" s="32" t="s">
        <v>688</v>
      </c>
      <c r="F176" s="49">
        <v>27.2</v>
      </c>
      <c r="G176" s="43">
        <v>326.39999999999998</v>
      </c>
    </row>
    <row r="177" spans="1:7">
      <c r="A177" s="30" t="s">
        <v>414</v>
      </c>
      <c r="B177" s="39"/>
      <c r="C177" s="58"/>
      <c r="D177" s="33"/>
      <c r="E177" s="33"/>
      <c r="F177" s="53"/>
      <c r="G177" s="44">
        <v>179419.11</v>
      </c>
    </row>
    <row r="178" spans="1:7">
      <c r="A178" s="28"/>
      <c r="C178" s="58"/>
      <c r="D178" s="28"/>
      <c r="E178" s="28"/>
      <c r="F178" s="51"/>
      <c r="G178" s="45"/>
    </row>
    <row r="179" spans="1:7">
      <c r="A179" s="34" t="s">
        <v>377</v>
      </c>
      <c r="B179" s="27" t="s">
        <v>863</v>
      </c>
      <c r="C179" s="58"/>
      <c r="D179" s="29"/>
      <c r="E179" s="29"/>
      <c r="F179" s="29"/>
      <c r="G179" s="29"/>
    </row>
    <row r="180" spans="1:7">
      <c r="A180" s="30" t="s">
        <v>379</v>
      </c>
      <c r="B180" s="36" t="s">
        <v>380</v>
      </c>
      <c r="C180" s="58"/>
      <c r="D180" s="30" t="s">
        <v>381</v>
      </c>
      <c r="E180" s="30" t="s">
        <v>382</v>
      </c>
      <c r="F180" s="48" t="s">
        <v>383</v>
      </c>
      <c r="G180" s="42" t="s">
        <v>384</v>
      </c>
    </row>
    <row r="181" spans="1:7">
      <c r="A181" s="32" t="s">
        <v>689</v>
      </c>
      <c r="B181" s="35">
        <v>1000</v>
      </c>
      <c r="C181" s="58" t="e">
        <f>(B181-#REF!-#REF!-#REF!-#REF!-#REF!)</f>
        <v>#REF!</v>
      </c>
      <c r="D181" s="32" t="s">
        <v>386</v>
      </c>
      <c r="E181" s="32" t="s">
        <v>690</v>
      </c>
      <c r="F181" s="49">
        <v>0.1699</v>
      </c>
      <c r="G181" s="43">
        <v>169.9</v>
      </c>
    </row>
    <row r="182" spans="1:7">
      <c r="A182" s="28"/>
      <c r="C182" s="58"/>
      <c r="D182" s="28"/>
      <c r="E182" s="28"/>
      <c r="F182" s="51"/>
      <c r="G182" s="45"/>
    </row>
    <row r="183" spans="1:7">
      <c r="A183" s="34" t="s">
        <v>377</v>
      </c>
      <c r="B183" s="27" t="s">
        <v>864</v>
      </c>
      <c r="C183" s="58"/>
      <c r="D183" s="29"/>
      <c r="E183" s="29"/>
      <c r="F183" s="29"/>
      <c r="G183" s="29"/>
    </row>
    <row r="184" spans="1:7">
      <c r="A184" s="30" t="s">
        <v>379</v>
      </c>
      <c r="B184" s="36" t="s">
        <v>380</v>
      </c>
      <c r="C184" s="58"/>
      <c r="D184" s="30" t="s">
        <v>381</v>
      </c>
      <c r="E184" s="30" t="s">
        <v>382</v>
      </c>
      <c r="F184" s="48" t="s">
        <v>383</v>
      </c>
      <c r="G184" s="42" t="s">
        <v>384</v>
      </c>
    </row>
    <row r="185" spans="1:7">
      <c r="A185" s="32" t="s">
        <v>691</v>
      </c>
      <c r="B185" s="35">
        <v>4000</v>
      </c>
      <c r="C185" s="58" t="e">
        <f>(B185-#REF!-#REF!-#REF!-#REF!-#REF!)</f>
        <v>#REF!</v>
      </c>
      <c r="D185" s="32" t="s">
        <v>386</v>
      </c>
      <c r="E185" s="32" t="s">
        <v>692</v>
      </c>
      <c r="F185" s="49">
        <v>0.28000000000000003</v>
      </c>
      <c r="G185" s="43">
        <v>1120</v>
      </c>
    </row>
    <row r="186" spans="1:7">
      <c r="A186" s="32" t="s">
        <v>693</v>
      </c>
      <c r="B186" s="35">
        <v>400</v>
      </c>
      <c r="C186" s="58" t="e">
        <f>(B186-#REF!-#REF!-#REF!-#REF!-#REF!)</f>
        <v>#REF!</v>
      </c>
      <c r="D186" s="32" t="s">
        <v>388</v>
      </c>
      <c r="E186" s="32" t="s">
        <v>694</v>
      </c>
      <c r="F186" s="49">
        <v>3.7</v>
      </c>
      <c r="G186" s="43">
        <v>1480</v>
      </c>
    </row>
    <row r="187" spans="1:7">
      <c r="A187" s="32" t="s">
        <v>695</v>
      </c>
      <c r="B187" s="35">
        <v>1000</v>
      </c>
      <c r="C187" s="58" t="e">
        <f>(B187-#REF!-#REF!-#REF!-#REF!-#REF!)</f>
        <v>#REF!</v>
      </c>
      <c r="D187" s="32" t="s">
        <v>386</v>
      </c>
      <c r="E187" s="32" t="s">
        <v>696</v>
      </c>
      <c r="F187" s="49">
        <v>1.07</v>
      </c>
      <c r="G187" s="43">
        <v>1070</v>
      </c>
    </row>
    <row r="188" spans="1:7">
      <c r="A188" s="32" t="s">
        <v>697</v>
      </c>
      <c r="B188" s="35">
        <v>1500</v>
      </c>
      <c r="C188" s="58" t="e">
        <f>(B188-#REF!-#REF!-#REF!-#REF!-#REF!)</f>
        <v>#REF!</v>
      </c>
      <c r="D188" s="32" t="s">
        <v>386</v>
      </c>
      <c r="E188" s="32" t="s">
        <v>698</v>
      </c>
      <c r="F188" s="49">
        <v>0.66</v>
      </c>
      <c r="G188" s="43">
        <v>990</v>
      </c>
    </row>
    <row r="189" spans="1:7">
      <c r="A189" s="32" t="s">
        <v>699</v>
      </c>
      <c r="B189" s="35">
        <v>15000</v>
      </c>
      <c r="C189" s="58" t="e">
        <f>(B189-#REF!-#REF!-#REF!-#REF!-#REF!)</f>
        <v>#REF!</v>
      </c>
      <c r="D189" s="32" t="s">
        <v>386</v>
      </c>
      <c r="E189" s="32" t="s">
        <v>700</v>
      </c>
      <c r="F189" s="49">
        <v>0.55000000000000004</v>
      </c>
      <c r="G189" s="43">
        <v>8250</v>
      </c>
    </row>
    <row r="190" spans="1:7">
      <c r="A190" s="32" t="s">
        <v>701</v>
      </c>
      <c r="B190" s="35">
        <v>200</v>
      </c>
      <c r="C190" s="58" t="e">
        <f>(B190-#REF!-#REF!-#REF!-#REF!-#REF!)</f>
        <v>#REF!</v>
      </c>
      <c r="D190" s="32" t="s">
        <v>388</v>
      </c>
      <c r="E190" s="32" t="s">
        <v>702</v>
      </c>
      <c r="F190" s="49">
        <v>2.35</v>
      </c>
      <c r="G190" s="43">
        <v>470</v>
      </c>
    </row>
    <row r="191" spans="1:7">
      <c r="A191" s="32" t="s">
        <v>703</v>
      </c>
      <c r="B191" s="35">
        <v>13000</v>
      </c>
      <c r="C191" s="58" t="e">
        <f>(B191-#REF!-#REF!-#REF!-#REF!-#REF!)</f>
        <v>#REF!</v>
      </c>
      <c r="D191" s="32" t="s">
        <v>386</v>
      </c>
      <c r="E191" s="32" t="s">
        <v>704</v>
      </c>
      <c r="F191" s="49">
        <v>0.17</v>
      </c>
      <c r="G191" s="43">
        <v>2210</v>
      </c>
    </row>
    <row r="192" spans="1:7">
      <c r="A192" s="32" t="s">
        <v>705</v>
      </c>
      <c r="B192" s="35">
        <v>3000</v>
      </c>
      <c r="C192" s="58" t="e">
        <f>(B192-#REF!-#REF!-#REF!-#REF!-#REF!)</f>
        <v>#REF!</v>
      </c>
      <c r="D192" s="32" t="s">
        <v>386</v>
      </c>
      <c r="E192" s="32" t="s">
        <v>706</v>
      </c>
      <c r="F192" s="49">
        <v>0.1</v>
      </c>
      <c r="G192" s="43">
        <v>300</v>
      </c>
    </row>
    <row r="193" spans="1:7">
      <c r="A193" s="32" t="s">
        <v>707</v>
      </c>
      <c r="B193" s="35">
        <v>40</v>
      </c>
      <c r="C193" s="58" t="e">
        <f>(B193-#REF!-#REF!-#REF!-#REF!-#REF!)</f>
        <v>#REF!</v>
      </c>
      <c r="D193" s="32" t="s">
        <v>388</v>
      </c>
      <c r="E193" s="32" t="s">
        <v>708</v>
      </c>
      <c r="F193" s="49">
        <v>74</v>
      </c>
      <c r="G193" s="43">
        <v>2960</v>
      </c>
    </row>
    <row r="194" spans="1:7">
      <c r="A194" s="32" t="s">
        <v>709</v>
      </c>
      <c r="B194" s="35">
        <v>30000</v>
      </c>
      <c r="C194" s="58" t="e">
        <f>(B194-#REF!-#REF!-#REF!-#REF!-#REF!)</f>
        <v>#REF!</v>
      </c>
      <c r="D194" s="32" t="s">
        <v>386</v>
      </c>
      <c r="E194" s="32" t="s">
        <v>710</v>
      </c>
      <c r="F194" s="49">
        <v>0.1</v>
      </c>
      <c r="G194" s="43">
        <v>3000</v>
      </c>
    </row>
    <row r="195" spans="1:7">
      <c r="A195" s="32" t="s">
        <v>711</v>
      </c>
      <c r="B195" s="35">
        <v>800</v>
      </c>
      <c r="C195" s="58" t="e">
        <f>(B195-#REF!-#REF!-#REF!-#REF!-#REF!)</f>
        <v>#REF!</v>
      </c>
      <c r="D195" s="32" t="s">
        <v>410</v>
      </c>
      <c r="E195" s="32" t="s">
        <v>712</v>
      </c>
      <c r="F195" s="49">
        <v>1</v>
      </c>
      <c r="G195" s="43">
        <v>800</v>
      </c>
    </row>
    <row r="196" spans="1:7">
      <c r="A196" s="32" t="s">
        <v>713</v>
      </c>
      <c r="B196" s="35">
        <v>40</v>
      </c>
      <c r="C196" s="58" t="e">
        <f>(B196-#REF!-#REF!-#REF!-#REF!-#REF!)</f>
        <v>#REF!</v>
      </c>
      <c r="D196" s="32" t="s">
        <v>651</v>
      </c>
      <c r="E196" s="32" t="s">
        <v>714</v>
      </c>
      <c r="F196" s="49">
        <v>5.89</v>
      </c>
      <c r="G196" s="43">
        <v>235.6</v>
      </c>
    </row>
    <row r="197" spans="1:7">
      <c r="A197" s="32" t="s">
        <v>715</v>
      </c>
      <c r="B197" s="35">
        <v>100</v>
      </c>
      <c r="C197" s="58" t="e">
        <f>(B197-#REF!-#REF!-#REF!-#REF!-#REF!)</f>
        <v>#REF!</v>
      </c>
      <c r="D197" s="32" t="s">
        <v>648</v>
      </c>
      <c r="E197" s="32" t="s">
        <v>716</v>
      </c>
      <c r="F197" s="49">
        <v>1.4</v>
      </c>
      <c r="G197" s="43">
        <v>140</v>
      </c>
    </row>
    <row r="198" spans="1:7">
      <c r="A198" s="32" t="s">
        <v>717</v>
      </c>
      <c r="B198" s="35">
        <v>200</v>
      </c>
      <c r="C198" s="58" t="e">
        <f>(B198-#REF!-#REF!-#REF!-#REF!-#REF!)</f>
        <v>#REF!</v>
      </c>
      <c r="D198" s="32" t="s">
        <v>454</v>
      </c>
      <c r="E198" s="32" t="s">
        <v>718</v>
      </c>
      <c r="F198" s="49">
        <v>2.84</v>
      </c>
      <c r="G198" s="43">
        <v>568</v>
      </c>
    </row>
    <row r="199" spans="1:7">
      <c r="A199" s="32" t="s">
        <v>719</v>
      </c>
      <c r="B199" s="35">
        <v>600</v>
      </c>
      <c r="C199" s="58" t="e">
        <f>(B199-#REF!-#REF!-#REF!-#REF!-#REF!)</f>
        <v>#REF!</v>
      </c>
      <c r="D199" s="32" t="s">
        <v>454</v>
      </c>
      <c r="E199" s="32" t="s">
        <v>720</v>
      </c>
      <c r="F199" s="49">
        <v>4.4000000000000004</v>
      </c>
      <c r="G199" s="43">
        <v>2640</v>
      </c>
    </row>
    <row r="200" spans="1:7">
      <c r="A200" s="32" t="s">
        <v>721</v>
      </c>
      <c r="B200" s="35">
        <v>100</v>
      </c>
      <c r="C200" s="58" t="e">
        <f>(B200-#REF!-#REF!-#REF!-#REF!-#REF!)</f>
        <v>#REF!</v>
      </c>
      <c r="D200" s="32" t="s">
        <v>410</v>
      </c>
      <c r="E200" s="32" t="s">
        <v>722</v>
      </c>
      <c r="F200" s="49">
        <v>2.2799999999999998</v>
      </c>
      <c r="G200" s="43">
        <v>228</v>
      </c>
    </row>
    <row r="201" spans="1:7">
      <c r="A201" s="32" t="s">
        <v>723</v>
      </c>
      <c r="B201" s="35">
        <v>100</v>
      </c>
      <c r="C201" s="58" t="e">
        <f>(B201-#REF!-#REF!-#REF!-#REF!-#REF!)</f>
        <v>#REF!</v>
      </c>
      <c r="D201" s="32" t="s">
        <v>410</v>
      </c>
      <c r="E201" s="32" t="s">
        <v>724</v>
      </c>
      <c r="F201" s="49">
        <v>1.3</v>
      </c>
      <c r="G201" s="43">
        <v>130</v>
      </c>
    </row>
    <row r="202" spans="1:7">
      <c r="A202" s="32" t="s">
        <v>725</v>
      </c>
      <c r="B202" s="35">
        <v>800</v>
      </c>
      <c r="C202" s="58" t="e">
        <f>(B202-#REF!-#REF!-#REF!-#REF!-#REF!)</f>
        <v>#REF!</v>
      </c>
      <c r="D202" s="32" t="s">
        <v>410</v>
      </c>
      <c r="E202" s="32" t="s">
        <v>726</v>
      </c>
      <c r="F202" s="49">
        <v>0.78</v>
      </c>
      <c r="G202" s="43">
        <v>624</v>
      </c>
    </row>
    <row r="203" spans="1:7">
      <c r="A203" s="32" t="s">
        <v>727</v>
      </c>
      <c r="B203" s="35">
        <v>100</v>
      </c>
      <c r="C203" s="58" t="e">
        <f>(B203-#REF!-#REF!-#REF!-#REF!-#REF!)</f>
        <v>#REF!</v>
      </c>
      <c r="D203" s="32" t="s">
        <v>410</v>
      </c>
      <c r="E203" s="32" t="s">
        <v>728</v>
      </c>
      <c r="F203" s="49">
        <v>1.35</v>
      </c>
      <c r="G203" s="43">
        <v>135</v>
      </c>
    </row>
    <row r="204" spans="1:7">
      <c r="A204" s="32" t="s">
        <v>729</v>
      </c>
      <c r="B204" s="35">
        <v>50</v>
      </c>
      <c r="C204" s="58" t="e">
        <f>(B204-#REF!-#REF!-#REF!-#REF!-#REF!)</f>
        <v>#REF!</v>
      </c>
      <c r="D204" s="32" t="s">
        <v>388</v>
      </c>
      <c r="E204" s="32" t="s">
        <v>730</v>
      </c>
      <c r="F204" s="49">
        <v>17.8</v>
      </c>
      <c r="G204" s="43">
        <v>890</v>
      </c>
    </row>
    <row r="205" spans="1:7">
      <c r="A205" s="30" t="s">
        <v>414</v>
      </c>
      <c r="B205" s="39"/>
      <c r="C205" s="58"/>
      <c r="D205" s="33"/>
      <c r="E205" s="33"/>
      <c r="F205" s="53"/>
      <c r="G205" s="44">
        <v>28240.6</v>
      </c>
    </row>
    <row r="206" spans="1:7">
      <c r="A206" s="28"/>
      <c r="C206" s="58"/>
      <c r="D206" s="28"/>
      <c r="E206" s="28"/>
      <c r="F206" s="51"/>
      <c r="G206" s="45"/>
    </row>
    <row r="207" spans="1:7">
      <c r="A207" s="34" t="s">
        <v>377</v>
      </c>
      <c r="B207" s="27" t="s">
        <v>865</v>
      </c>
      <c r="C207" s="58"/>
      <c r="D207" s="29"/>
      <c r="E207" s="29"/>
      <c r="F207" s="29"/>
      <c r="G207" s="29"/>
    </row>
    <row r="208" spans="1:7">
      <c r="A208" s="30" t="s">
        <v>379</v>
      </c>
      <c r="B208" s="36" t="s">
        <v>380</v>
      </c>
      <c r="C208" s="58"/>
      <c r="D208" s="30" t="s">
        <v>381</v>
      </c>
      <c r="E208" s="30" t="s">
        <v>382</v>
      </c>
      <c r="F208" s="48" t="s">
        <v>383</v>
      </c>
      <c r="G208" s="42" t="s">
        <v>384</v>
      </c>
    </row>
    <row r="209" spans="1:7">
      <c r="A209" s="32" t="s">
        <v>731</v>
      </c>
      <c r="B209" s="35">
        <v>30000</v>
      </c>
      <c r="C209" s="58" t="e">
        <f>(B209-#REF!-#REF!-#REF!-#REF!-#REF!)</f>
        <v>#REF!</v>
      </c>
      <c r="D209" s="32" t="s">
        <v>386</v>
      </c>
      <c r="E209" s="32" t="s">
        <v>732</v>
      </c>
      <c r="F209" s="49">
        <v>0.25</v>
      </c>
      <c r="G209" s="43">
        <v>7500</v>
      </c>
    </row>
    <row r="210" spans="1:7">
      <c r="A210" s="32" t="s">
        <v>733</v>
      </c>
      <c r="B210" s="35">
        <v>300</v>
      </c>
      <c r="C210" s="58" t="e">
        <f>(B210-#REF!-#REF!-#REF!-#REF!-#REF!)</f>
        <v>#REF!</v>
      </c>
      <c r="D210" s="32" t="s">
        <v>410</v>
      </c>
      <c r="E210" s="32" t="s">
        <v>734</v>
      </c>
      <c r="F210" s="49">
        <v>18.2</v>
      </c>
      <c r="G210" s="43">
        <v>5460</v>
      </c>
    </row>
    <row r="211" spans="1:7">
      <c r="A211" s="32" t="s">
        <v>735</v>
      </c>
      <c r="B211" s="35">
        <v>300</v>
      </c>
      <c r="C211" s="58" t="e">
        <f>(B211-#REF!-#REF!-#REF!-#REF!-#REF!)</f>
        <v>#REF!</v>
      </c>
      <c r="D211" s="32" t="s">
        <v>410</v>
      </c>
      <c r="E211" s="32" t="s">
        <v>736</v>
      </c>
      <c r="F211" s="49">
        <v>14.9</v>
      </c>
      <c r="G211" s="43">
        <v>4470</v>
      </c>
    </row>
    <row r="212" spans="1:7">
      <c r="A212" s="30" t="s">
        <v>414</v>
      </c>
      <c r="B212" s="39"/>
      <c r="C212" s="58"/>
      <c r="D212" s="33"/>
      <c r="E212" s="33"/>
      <c r="F212" s="53"/>
      <c r="G212" s="44">
        <v>17430</v>
      </c>
    </row>
    <row r="213" spans="1:7">
      <c r="A213" s="28"/>
      <c r="C213" s="58"/>
      <c r="D213" s="28"/>
      <c r="E213" s="28"/>
      <c r="F213" s="51"/>
      <c r="G213" s="45"/>
    </row>
    <row r="214" spans="1:7">
      <c r="A214" s="34" t="s">
        <v>377</v>
      </c>
      <c r="B214" s="27" t="s">
        <v>866</v>
      </c>
      <c r="C214" s="58"/>
      <c r="D214" s="29"/>
      <c r="E214" s="29"/>
      <c r="F214" s="29"/>
      <c r="G214" s="29"/>
    </row>
    <row r="215" spans="1:7">
      <c r="A215" s="30" t="s">
        <v>379</v>
      </c>
      <c r="B215" s="36" t="s">
        <v>380</v>
      </c>
      <c r="C215" s="58"/>
      <c r="D215" s="30" t="s">
        <v>381</v>
      </c>
      <c r="E215" s="30" t="s">
        <v>382</v>
      </c>
      <c r="F215" s="48" t="s">
        <v>383</v>
      </c>
      <c r="G215" s="42" t="s">
        <v>384</v>
      </c>
    </row>
    <row r="216" spans="1:7">
      <c r="A216" s="32" t="s">
        <v>737</v>
      </c>
      <c r="B216" s="35">
        <v>4000</v>
      </c>
      <c r="C216" s="58" t="e">
        <f>(B216-#REF!-#REF!-#REF!-#REF!-#REF!)</f>
        <v>#REF!</v>
      </c>
      <c r="D216" s="32" t="s">
        <v>386</v>
      </c>
      <c r="E216" s="32" t="s">
        <v>738</v>
      </c>
      <c r="F216" s="49">
        <v>1.89</v>
      </c>
      <c r="G216" s="43">
        <v>7560</v>
      </c>
    </row>
    <row r="217" spans="1:7">
      <c r="A217" s="30" t="s">
        <v>414</v>
      </c>
      <c r="B217" s="39"/>
      <c r="C217" s="58"/>
      <c r="D217" s="33"/>
      <c r="E217" s="33"/>
      <c r="F217" s="53"/>
      <c r="G217" s="44">
        <v>7560</v>
      </c>
    </row>
    <row r="218" spans="1:7">
      <c r="A218" s="28"/>
      <c r="C218" s="58"/>
      <c r="D218" s="28"/>
      <c r="E218" s="28"/>
      <c r="F218" s="51"/>
      <c r="G218" s="45"/>
    </row>
    <row r="219" spans="1:7">
      <c r="A219" s="34" t="s">
        <v>377</v>
      </c>
      <c r="B219" s="27" t="s">
        <v>867</v>
      </c>
      <c r="C219" s="58"/>
      <c r="D219" s="29"/>
      <c r="E219" s="29"/>
      <c r="F219" s="29"/>
      <c r="G219" s="29"/>
    </row>
    <row r="220" spans="1:7">
      <c r="A220" s="30" t="s">
        <v>379</v>
      </c>
      <c r="B220" s="36" t="s">
        <v>380</v>
      </c>
      <c r="C220" s="58"/>
      <c r="D220" s="30" t="s">
        <v>381</v>
      </c>
      <c r="E220" s="30" t="s">
        <v>382</v>
      </c>
      <c r="F220" s="48" t="s">
        <v>383</v>
      </c>
      <c r="G220" s="42" t="s">
        <v>384</v>
      </c>
    </row>
    <row r="221" spans="1:7">
      <c r="A221" s="32" t="s">
        <v>739</v>
      </c>
      <c r="B221" s="35">
        <v>40000</v>
      </c>
      <c r="C221" s="58" t="e">
        <f>(B221-#REF!-#REF!-#REF!-#REF!-#REF!)</f>
        <v>#REF!</v>
      </c>
      <c r="D221" s="32" t="s">
        <v>386</v>
      </c>
      <c r="E221" s="32" t="s">
        <v>740</v>
      </c>
      <c r="F221" s="49">
        <v>0.03</v>
      </c>
      <c r="G221" s="43">
        <v>1200</v>
      </c>
    </row>
    <row r="222" spans="1:7">
      <c r="A222" s="32" t="s">
        <v>741</v>
      </c>
      <c r="B222" s="35">
        <v>600</v>
      </c>
      <c r="C222" s="58" t="e">
        <f>(B222-#REF!-#REF!-#REF!-#REF!-#REF!)</f>
        <v>#REF!</v>
      </c>
      <c r="D222" s="32" t="s">
        <v>388</v>
      </c>
      <c r="E222" s="32" t="s">
        <v>742</v>
      </c>
      <c r="F222" s="49">
        <v>1.2</v>
      </c>
      <c r="G222" s="43">
        <v>720</v>
      </c>
    </row>
    <row r="223" spans="1:7">
      <c r="A223" s="32" t="s">
        <v>743</v>
      </c>
      <c r="B223" s="35">
        <v>16000</v>
      </c>
      <c r="C223" s="58" t="e">
        <f>(B223-#REF!-#REF!-#REF!-#REF!-#REF!)</f>
        <v>#REF!</v>
      </c>
      <c r="D223" s="32" t="s">
        <v>386</v>
      </c>
      <c r="E223" s="32" t="s">
        <v>744</v>
      </c>
      <c r="F223" s="49">
        <v>0.06</v>
      </c>
      <c r="G223" s="43">
        <v>960</v>
      </c>
    </row>
    <row r="224" spans="1:7">
      <c r="A224" s="32" t="s">
        <v>745</v>
      </c>
      <c r="B224" s="35">
        <v>200</v>
      </c>
      <c r="C224" s="58" t="e">
        <f>(B224-#REF!-#REF!-#REF!-#REF!-#REF!)</f>
        <v>#REF!</v>
      </c>
      <c r="D224" s="32" t="s">
        <v>388</v>
      </c>
      <c r="E224" s="32" t="s">
        <v>746</v>
      </c>
      <c r="F224" s="49">
        <v>9.8000000000000007</v>
      </c>
      <c r="G224" s="43">
        <v>1960</v>
      </c>
    </row>
    <row r="225" spans="1:7">
      <c r="A225" s="32" t="s">
        <v>747</v>
      </c>
      <c r="B225" s="35">
        <v>5000</v>
      </c>
      <c r="C225" s="58" t="e">
        <f>(B225-#REF!-#REF!-#REF!-#REF!-#REF!)</f>
        <v>#REF!</v>
      </c>
      <c r="D225" s="32" t="s">
        <v>386</v>
      </c>
      <c r="E225" s="32" t="s">
        <v>748</v>
      </c>
      <c r="F225" s="49">
        <v>0.75</v>
      </c>
      <c r="G225" s="43">
        <v>3750</v>
      </c>
    </row>
    <row r="226" spans="1:7">
      <c r="A226" s="32" t="s">
        <v>749</v>
      </c>
      <c r="B226" s="35">
        <v>5000</v>
      </c>
      <c r="C226" s="58" t="e">
        <f>(B226-#REF!-#REF!-#REF!-#REF!-#REF!)</f>
        <v>#REF!</v>
      </c>
      <c r="D226" s="32" t="s">
        <v>615</v>
      </c>
      <c r="E226" s="32" t="s">
        <v>750</v>
      </c>
      <c r="F226" s="49">
        <v>0.19</v>
      </c>
      <c r="G226" s="43">
        <v>950</v>
      </c>
    </row>
    <row r="227" spans="1:7">
      <c r="A227" s="32" t="s">
        <v>751</v>
      </c>
      <c r="B227" s="35">
        <v>20000</v>
      </c>
      <c r="C227" s="58" t="e">
        <f>(B227-#REF!-#REF!-#REF!-#REF!-#REF!)</f>
        <v>#REF!</v>
      </c>
      <c r="D227" s="32" t="s">
        <v>386</v>
      </c>
      <c r="E227" s="32" t="s">
        <v>752</v>
      </c>
      <c r="F227" s="49">
        <v>0.04</v>
      </c>
      <c r="G227" s="43">
        <v>800</v>
      </c>
    </row>
    <row r="228" spans="1:7">
      <c r="A228" s="32" t="s">
        <v>753</v>
      </c>
      <c r="B228" s="35">
        <v>300</v>
      </c>
      <c r="C228" s="58" t="e">
        <f>(B228-#REF!-#REF!-#REF!-#REF!-#REF!)</f>
        <v>#REF!</v>
      </c>
      <c r="D228" s="32" t="s">
        <v>388</v>
      </c>
      <c r="E228" s="32" t="s">
        <v>754</v>
      </c>
      <c r="F228" s="49">
        <v>6.6</v>
      </c>
      <c r="G228" s="43">
        <v>1980</v>
      </c>
    </row>
    <row r="229" spans="1:7">
      <c r="A229" s="32" t="s">
        <v>755</v>
      </c>
      <c r="B229" s="35">
        <v>50</v>
      </c>
      <c r="C229" s="58" t="e">
        <f>(B229-#REF!-#REF!-#REF!-#REF!-#REF!)</f>
        <v>#REF!</v>
      </c>
      <c r="D229" s="32" t="s">
        <v>388</v>
      </c>
      <c r="E229" s="32" t="s">
        <v>756</v>
      </c>
      <c r="F229" s="49">
        <v>10</v>
      </c>
      <c r="G229" s="43">
        <v>500</v>
      </c>
    </row>
    <row r="230" spans="1:7">
      <c r="A230" s="32" t="s">
        <v>757</v>
      </c>
      <c r="B230" s="35">
        <v>30000</v>
      </c>
      <c r="C230" s="58" t="e">
        <f>(B230-#REF!-#REF!-#REF!-#REF!-#REF!)</f>
        <v>#REF!</v>
      </c>
      <c r="D230" s="32" t="s">
        <v>386</v>
      </c>
      <c r="E230" s="32" t="s">
        <v>758</v>
      </c>
      <c r="F230" s="49">
        <v>0.02</v>
      </c>
      <c r="G230" s="43">
        <v>600</v>
      </c>
    </row>
    <row r="231" spans="1:7">
      <c r="A231" s="32" t="s">
        <v>759</v>
      </c>
      <c r="B231" s="35">
        <v>35000</v>
      </c>
      <c r="C231" s="58" t="e">
        <f>(B231-#REF!-#REF!-#REF!-#REF!-#REF!)</f>
        <v>#REF!</v>
      </c>
      <c r="D231" s="32" t="s">
        <v>386</v>
      </c>
      <c r="E231" s="32" t="s">
        <v>760</v>
      </c>
      <c r="F231" s="49">
        <v>0.16</v>
      </c>
      <c r="G231" s="43">
        <v>5600</v>
      </c>
    </row>
    <row r="232" spans="1:7">
      <c r="A232" s="32" t="s">
        <v>761</v>
      </c>
      <c r="B232" s="35">
        <v>25000</v>
      </c>
      <c r="C232" s="58" t="e">
        <f>(B232-#REF!-#REF!-#REF!-#REF!-#REF!)</f>
        <v>#REF!</v>
      </c>
      <c r="D232" s="32" t="s">
        <v>386</v>
      </c>
      <c r="E232" s="32" t="s">
        <v>762</v>
      </c>
      <c r="F232" s="49">
        <v>7.0000000000000007E-2</v>
      </c>
      <c r="G232" s="43">
        <v>1750</v>
      </c>
    </row>
    <row r="233" spans="1:7">
      <c r="A233" s="32" t="s">
        <v>763</v>
      </c>
      <c r="B233" s="35">
        <v>15000</v>
      </c>
      <c r="C233" s="58" t="e">
        <f>(B233-#REF!-#REF!-#REF!-#REF!-#REF!)</f>
        <v>#REF!</v>
      </c>
      <c r="D233" s="32" t="s">
        <v>386</v>
      </c>
      <c r="E233" s="32" t="s">
        <v>764</v>
      </c>
      <c r="F233" s="49">
        <v>0.11</v>
      </c>
      <c r="G233" s="43">
        <v>1650</v>
      </c>
    </row>
    <row r="234" spans="1:7">
      <c r="A234" s="32" t="s">
        <v>765</v>
      </c>
      <c r="B234" s="35">
        <v>10000</v>
      </c>
      <c r="C234" s="58" t="e">
        <f>(B234-#REF!-#REF!-#REF!-#REF!-#REF!)</f>
        <v>#REF!</v>
      </c>
      <c r="D234" s="32" t="s">
        <v>386</v>
      </c>
      <c r="E234" s="32" t="s">
        <v>766</v>
      </c>
      <c r="F234" s="49">
        <v>7.0000000000000007E-2</v>
      </c>
      <c r="G234" s="43">
        <v>700</v>
      </c>
    </row>
    <row r="235" spans="1:7">
      <c r="A235" s="32" t="s">
        <v>767</v>
      </c>
      <c r="B235" s="35">
        <v>30000</v>
      </c>
      <c r="C235" s="58" t="e">
        <f>(B235-#REF!-#REF!-#REF!-#REF!-#REF!)</f>
        <v>#REF!</v>
      </c>
      <c r="D235" s="32" t="s">
        <v>386</v>
      </c>
      <c r="E235" s="32" t="s">
        <v>768</v>
      </c>
      <c r="F235" s="49">
        <v>0.04</v>
      </c>
      <c r="G235" s="43">
        <v>1200</v>
      </c>
    </row>
    <row r="236" spans="1:7">
      <c r="A236" s="32" t="s">
        <v>769</v>
      </c>
      <c r="B236" s="35">
        <v>2000</v>
      </c>
      <c r="C236" s="58" t="e">
        <f>(B236-#REF!-#REF!-#REF!-#REF!-#REF!)</f>
        <v>#REF!</v>
      </c>
      <c r="D236" s="32" t="s">
        <v>770</v>
      </c>
      <c r="E236" s="32" t="s">
        <v>771</v>
      </c>
      <c r="F236" s="49">
        <v>0.57999999999999996</v>
      </c>
      <c r="G236" s="43">
        <v>1160</v>
      </c>
    </row>
    <row r="237" spans="1:7">
      <c r="A237" s="32" t="s">
        <v>772</v>
      </c>
      <c r="B237" s="35">
        <v>20000</v>
      </c>
      <c r="C237" s="58" t="e">
        <f>(B237-#REF!-#REF!-#REF!-#REF!-#REF!)</f>
        <v>#REF!</v>
      </c>
      <c r="D237" s="32" t="s">
        <v>386</v>
      </c>
      <c r="E237" s="32" t="s">
        <v>773</v>
      </c>
      <c r="F237" s="49">
        <v>0.04</v>
      </c>
      <c r="G237" s="43">
        <v>800</v>
      </c>
    </row>
    <row r="238" spans="1:7">
      <c r="A238" s="32" t="s">
        <v>774</v>
      </c>
      <c r="B238" s="35">
        <v>20000</v>
      </c>
      <c r="C238" s="58" t="e">
        <f>(B238-#REF!-#REF!-#REF!-#REF!-#REF!)</f>
        <v>#REF!</v>
      </c>
      <c r="D238" s="32" t="s">
        <v>386</v>
      </c>
      <c r="E238" s="32" t="s">
        <v>775</v>
      </c>
      <c r="F238" s="49">
        <v>0.12</v>
      </c>
      <c r="G238" s="43">
        <v>2400</v>
      </c>
    </row>
    <row r="239" spans="1:7">
      <c r="A239" s="32" t="s">
        <v>776</v>
      </c>
      <c r="B239" s="35">
        <v>25000</v>
      </c>
      <c r="C239" s="58" t="e">
        <f>(B239-#REF!-#REF!-#REF!-#REF!-#REF!)</f>
        <v>#REF!</v>
      </c>
      <c r="D239" s="32" t="s">
        <v>386</v>
      </c>
      <c r="E239" s="32" t="s">
        <v>777</v>
      </c>
      <c r="F239" s="49">
        <v>0.1</v>
      </c>
      <c r="G239" s="43">
        <v>2500</v>
      </c>
    </row>
    <row r="240" spans="1:7">
      <c r="A240" s="32" t="s">
        <v>778</v>
      </c>
      <c r="B240" s="35">
        <v>30000</v>
      </c>
      <c r="C240" s="58" t="e">
        <f>(B240-#REF!-#REF!-#REF!-#REF!-#REF!)</f>
        <v>#REF!</v>
      </c>
      <c r="D240" s="32" t="s">
        <v>615</v>
      </c>
      <c r="E240" s="32" t="s">
        <v>779</v>
      </c>
      <c r="F240" s="49">
        <v>0.05</v>
      </c>
      <c r="G240" s="43">
        <v>1500</v>
      </c>
    </row>
    <row r="241" spans="1:7">
      <c r="A241" s="32" t="s">
        <v>780</v>
      </c>
      <c r="B241" s="35">
        <v>15000</v>
      </c>
      <c r="C241" s="58" t="e">
        <f>(B241-#REF!-#REF!-#REF!-#REF!-#REF!)</f>
        <v>#REF!</v>
      </c>
      <c r="D241" s="32" t="s">
        <v>386</v>
      </c>
      <c r="E241" s="32" t="s">
        <v>781</v>
      </c>
      <c r="F241" s="49">
        <v>0.1</v>
      </c>
      <c r="G241" s="43">
        <v>1500</v>
      </c>
    </row>
    <row r="242" spans="1:7">
      <c r="A242" s="32" t="s">
        <v>782</v>
      </c>
      <c r="B242" s="35">
        <v>8000</v>
      </c>
      <c r="C242" s="58" t="e">
        <f>(B242-#REF!-#REF!-#REF!-#REF!-#REF!)</f>
        <v>#REF!</v>
      </c>
      <c r="D242" s="32" t="s">
        <v>386</v>
      </c>
      <c r="E242" s="32" t="s">
        <v>783</v>
      </c>
      <c r="F242" s="49">
        <v>0.26</v>
      </c>
      <c r="G242" s="43">
        <v>2080</v>
      </c>
    </row>
    <row r="243" spans="1:7">
      <c r="A243" s="32" t="s">
        <v>784</v>
      </c>
      <c r="B243" s="35">
        <v>10000</v>
      </c>
      <c r="C243" s="58" t="e">
        <f>(B243-#REF!-#REF!-#REF!-#REF!-#REF!)</f>
        <v>#REF!</v>
      </c>
      <c r="D243" s="32" t="s">
        <v>615</v>
      </c>
      <c r="E243" s="32" t="s">
        <v>785</v>
      </c>
      <c r="F243" s="49">
        <v>0.23</v>
      </c>
      <c r="G243" s="43">
        <v>2300</v>
      </c>
    </row>
    <row r="244" spans="1:7">
      <c r="A244" s="32" t="s">
        <v>786</v>
      </c>
      <c r="B244" s="35">
        <v>7000</v>
      </c>
      <c r="C244" s="58" t="e">
        <f>(B244-#REF!-#REF!-#REF!-#REF!-#REF!)</f>
        <v>#REF!</v>
      </c>
      <c r="D244" s="32" t="s">
        <v>615</v>
      </c>
      <c r="E244" s="32" t="s">
        <v>787</v>
      </c>
      <c r="F244" s="49">
        <v>0.34</v>
      </c>
      <c r="G244" s="43">
        <v>2380</v>
      </c>
    </row>
    <row r="245" spans="1:7">
      <c r="A245" s="32" t="s">
        <v>788</v>
      </c>
      <c r="B245" s="35">
        <v>4000</v>
      </c>
      <c r="C245" s="58" t="e">
        <f>(B245-#REF!-#REF!-#REF!-#REF!-#REF!)</f>
        <v>#REF!</v>
      </c>
      <c r="D245" s="32" t="s">
        <v>386</v>
      </c>
      <c r="E245" s="32" t="s">
        <v>789</v>
      </c>
      <c r="F245" s="49">
        <v>7.0000000000000007E-2</v>
      </c>
      <c r="G245" s="43">
        <v>280</v>
      </c>
    </row>
    <row r="246" spans="1:7">
      <c r="A246" s="32" t="s">
        <v>790</v>
      </c>
      <c r="B246" s="35">
        <v>8000</v>
      </c>
      <c r="C246" s="58" t="e">
        <f>(B246-#REF!-#REF!-#REF!-#REF!-#REF!)</f>
        <v>#REF!</v>
      </c>
      <c r="D246" s="32" t="s">
        <v>386</v>
      </c>
      <c r="E246" s="32" t="s">
        <v>791</v>
      </c>
      <c r="F246" s="49">
        <v>0.04</v>
      </c>
      <c r="G246" s="43">
        <v>320</v>
      </c>
    </row>
    <row r="247" spans="1:7">
      <c r="A247" s="32" t="s">
        <v>792</v>
      </c>
      <c r="B247" s="35">
        <v>2000</v>
      </c>
      <c r="C247" s="58" t="e">
        <f>(B247-#REF!-#REF!-#REF!-#REF!-#REF!)</f>
        <v>#REF!</v>
      </c>
      <c r="D247" s="32" t="s">
        <v>386</v>
      </c>
      <c r="E247" s="32" t="s">
        <v>793</v>
      </c>
      <c r="F247" s="49">
        <v>0.09</v>
      </c>
      <c r="G247" s="43">
        <v>180</v>
      </c>
    </row>
    <row r="248" spans="1:7">
      <c r="A248" s="32" t="s">
        <v>794</v>
      </c>
      <c r="B248" s="35">
        <v>2500</v>
      </c>
      <c r="C248" s="58" t="e">
        <f>(B248-#REF!-#REF!-#REF!-#REF!-#REF!)</f>
        <v>#REF!</v>
      </c>
      <c r="D248" s="32" t="s">
        <v>386</v>
      </c>
      <c r="E248" s="32" t="s">
        <v>795</v>
      </c>
      <c r="F248" s="49">
        <v>0.31</v>
      </c>
      <c r="G248" s="43">
        <v>775</v>
      </c>
    </row>
    <row r="249" spans="1:7">
      <c r="A249" s="32" t="s">
        <v>796</v>
      </c>
      <c r="B249" s="35">
        <v>6000</v>
      </c>
      <c r="C249" s="58" t="e">
        <f>(B249-#REF!-#REF!-#REF!-#REF!-#REF!)</f>
        <v>#REF!</v>
      </c>
      <c r="D249" s="32" t="s">
        <v>386</v>
      </c>
      <c r="E249" s="32" t="s">
        <v>797</v>
      </c>
      <c r="F249" s="49">
        <v>0.08</v>
      </c>
      <c r="G249" s="43">
        <v>480</v>
      </c>
    </row>
    <row r="250" spans="1:7">
      <c r="A250" s="32" t="s">
        <v>798</v>
      </c>
      <c r="B250" s="35">
        <v>5000</v>
      </c>
      <c r="C250" s="58" t="e">
        <f>(B250-#REF!-#REF!-#REF!-#REF!-#REF!)</f>
        <v>#REF!</v>
      </c>
      <c r="D250" s="32" t="s">
        <v>386</v>
      </c>
      <c r="E250" s="32" t="s">
        <v>799</v>
      </c>
      <c r="F250" s="49">
        <v>0.2</v>
      </c>
      <c r="G250" s="43">
        <v>1000</v>
      </c>
    </row>
    <row r="251" spans="1:7">
      <c r="A251" s="32" t="s">
        <v>800</v>
      </c>
      <c r="B251" s="35">
        <v>6000</v>
      </c>
      <c r="C251" s="58" t="e">
        <f>(B251-#REF!-#REF!-#REF!-#REF!-#REF!)</f>
        <v>#REF!</v>
      </c>
      <c r="D251" s="32" t="s">
        <v>386</v>
      </c>
      <c r="E251" s="32" t="s">
        <v>801</v>
      </c>
      <c r="F251" s="49">
        <v>0.23</v>
      </c>
      <c r="G251" s="43">
        <v>1380</v>
      </c>
    </row>
    <row r="252" spans="1:7">
      <c r="A252" s="32" t="s">
        <v>802</v>
      </c>
      <c r="B252" s="35">
        <v>3000</v>
      </c>
      <c r="C252" s="58" t="e">
        <f>(B252-#REF!-#REF!-#REF!-#REF!-#REF!)</f>
        <v>#REF!</v>
      </c>
      <c r="D252" s="32" t="s">
        <v>386</v>
      </c>
      <c r="E252" s="32" t="s">
        <v>803</v>
      </c>
      <c r="F252" s="49">
        <v>0.16</v>
      </c>
      <c r="G252" s="43">
        <v>480</v>
      </c>
    </row>
    <row r="253" spans="1:7">
      <c r="A253" s="32" t="s">
        <v>804</v>
      </c>
      <c r="B253" s="35">
        <v>8000</v>
      </c>
      <c r="C253" s="58" t="e">
        <f>(B253-#REF!-#REF!-#REF!-#REF!-#REF!)</f>
        <v>#REF!</v>
      </c>
      <c r="D253" s="32" t="s">
        <v>388</v>
      </c>
      <c r="E253" s="32" t="s">
        <v>805</v>
      </c>
      <c r="F253" s="49">
        <v>0.15</v>
      </c>
      <c r="G253" s="43">
        <v>1200</v>
      </c>
    </row>
    <row r="254" spans="1:7">
      <c r="A254" s="32" t="s">
        <v>806</v>
      </c>
      <c r="B254" s="35">
        <v>1000</v>
      </c>
      <c r="C254" s="58" t="e">
        <f>(B254-#REF!-#REF!-#REF!-#REF!-#REF!)</f>
        <v>#REF!</v>
      </c>
      <c r="D254" s="32" t="s">
        <v>410</v>
      </c>
      <c r="E254" s="32" t="s">
        <v>807</v>
      </c>
      <c r="F254" s="49">
        <v>0.99</v>
      </c>
      <c r="G254" s="43">
        <v>990</v>
      </c>
    </row>
    <row r="255" spans="1:7">
      <c r="A255" s="32" t="s">
        <v>808</v>
      </c>
      <c r="B255" s="35">
        <v>1500</v>
      </c>
      <c r="C255" s="58" t="e">
        <f>(B255-#REF!-#REF!-#REF!-#REF!-#REF!)</f>
        <v>#REF!</v>
      </c>
      <c r="D255" s="32" t="s">
        <v>410</v>
      </c>
      <c r="E255" s="32" t="s">
        <v>809</v>
      </c>
      <c r="F255" s="49">
        <v>0.69</v>
      </c>
      <c r="G255" s="43">
        <v>1035</v>
      </c>
    </row>
    <row r="256" spans="1:7">
      <c r="A256" s="32" t="s">
        <v>810</v>
      </c>
      <c r="B256" s="35">
        <v>1000</v>
      </c>
      <c r="C256" s="58" t="e">
        <f>(B256-#REF!-#REF!-#REF!-#REF!-#REF!)</f>
        <v>#REF!</v>
      </c>
      <c r="D256" s="32" t="s">
        <v>410</v>
      </c>
      <c r="E256" s="32" t="s">
        <v>811</v>
      </c>
      <c r="F256" s="49">
        <v>0.62</v>
      </c>
      <c r="G256" s="43">
        <v>620</v>
      </c>
    </row>
    <row r="257" spans="1:7">
      <c r="A257" s="32" t="s">
        <v>812</v>
      </c>
      <c r="B257" s="35">
        <v>200</v>
      </c>
      <c r="C257" s="58" t="e">
        <f>(B257-#REF!-#REF!-#REF!-#REF!-#REF!)</f>
        <v>#REF!</v>
      </c>
      <c r="D257" s="32" t="s">
        <v>410</v>
      </c>
      <c r="E257" s="32" t="s">
        <v>813</v>
      </c>
      <c r="F257" s="49">
        <v>0.75</v>
      </c>
      <c r="G257" s="43">
        <v>150</v>
      </c>
    </row>
    <row r="258" spans="1:7">
      <c r="A258" s="32" t="s">
        <v>814</v>
      </c>
      <c r="B258" s="35">
        <v>2000</v>
      </c>
      <c r="C258" s="58" t="e">
        <f>(B258-#REF!-#REF!-#REF!-#REF!-#REF!)</f>
        <v>#REF!</v>
      </c>
      <c r="D258" s="32" t="s">
        <v>410</v>
      </c>
      <c r="E258" s="32" t="s">
        <v>815</v>
      </c>
      <c r="F258" s="49">
        <v>0.41</v>
      </c>
      <c r="G258" s="43">
        <v>820</v>
      </c>
    </row>
    <row r="259" spans="1:7">
      <c r="A259" s="32" t="s">
        <v>816</v>
      </c>
      <c r="B259" s="35">
        <v>200</v>
      </c>
      <c r="C259" s="58" t="e">
        <f>(B259-#REF!-#REF!-#REF!-#REF!-#REF!)</f>
        <v>#REF!</v>
      </c>
      <c r="D259" s="32" t="s">
        <v>388</v>
      </c>
      <c r="E259" s="32" t="s">
        <v>817</v>
      </c>
      <c r="F259" s="49">
        <v>4.8</v>
      </c>
      <c r="G259" s="43">
        <v>960</v>
      </c>
    </row>
    <row r="260" spans="1:7">
      <c r="A260" s="32" t="s">
        <v>818</v>
      </c>
      <c r="B260" s="35">
        <v>200</v>
      </c>
      <c r="C260" s="58" t="e">
        <f>(B260-#REF!-#REF!-#REF!-#REF!-#REF!)</f>
        <v>#REF!</v>
      </c>
      <c r="D260" s="32" t="s">
        <v>388</v>
      </c>
      <c r="E260" s="32" t="s">
        <v>819</v>
      </c>
      <c r="F260" s="49">
        <v>5</v>
      </c>
      <c r="G260" s="43">
        <v>1000</v>
      </c>
    </row>
    <row r="261" spans="1:7">
      <c r="A261" s="32" t="s">
        <v>820</v>
      </c>
      <c r="B261" s="35">
        <v>500</v>
      </c>
      <c r="C261" s="58" t="e">
        <f>(B261-#REF!-#REF!-#REF!-#REF!-#REF!)</f>
        <v>#REF!</v>
      </c>
      <c r="D261" s="32" t="s">
        <v>648</v>
      </c>
      <c r="E261" s="32" t="s">
        <v>821</v>
      </c>
      <c r="F261" s="49">
        <v>0.88</v>
      </c>
      <c r="G261" s="43">
        <v>440</v>
      </c>
    </row>
    <row r="262" spans="1:7">
      <c r="A262" s="32" t="s">
        <v>822</v>
      </c>
      <c r="B262" s="35">
        <v>100</v>
      </c>
      <c r="C262" s="58" t="e">
        <f>(B262-#REF!-#REF!-#REF!-#REF!-#REF!)</f>
        <v>#REF!</v>
      </c>
      <c r="D262" s="32" t="s">
        <v>410</v>
      </c>
      <c r="E262" s="32" t="s">
        <v>823</v>
      </c>
      <c r="F262" s="49">
        <v>4.13</v>
      </c>
      <c r="G262" s="43">
        <v>413</v>
      </c>
    </row>
    <row r="263" spans="1:7">
      <c r="A263" s="30" t="s">
        <v>414</v>
      </c>
      <c r="B263" s="39"/>
      <c r="C263" s="58"/>
      <c r="D263" s="33"/>
      <c r="E263" s="33"/>
      <c r="F263" s="53"/>
      <c r="G263" s="44">
        <v>53463</v>
      </c>
    </row>
    <row r="264" spans="1:7">
      <c r="A264" s="28"/>
      <c r="C264" s="58"/>
      <c r="D264" s="28"/>
      <c r="E264" s="28"/>
      <c r="F264" s="51"/>
      <c r="G264" s="45"/>
    </row>
    <row r="265" spans="1:7">
      <c r="A265" s="34" t="s">
        <v>377</v>
      </c>
      <c r="B265" s="27" t="s">
        <v>868</v>
      </c>
      <c r="C265" s="58"/>
      <c r="D265" s="29"/>
      <c r="E265" s="29"/>
      <c r="F265" s="29"/>
      <c r="G265" s="29"/>
    </row>
    <row r="266" spans="1:7">
      <c r="A266" s="30" t="s">
        <v>379</v>
      </c>
      <c r="B266" s="31" t="s">
        <v>380</v>
      </c>
      <c r="C266" s="58"/>
      <c r="D266" s="30" t="s">
        <v>381</v>
      </c>
      <c r="E266" s="30" t="s">
        <v>382</v>
      </c>
      <c r="F266" s="48" t="s">
        <v>383</v>
      </c>
      <c r="G266" s="42" t="s">
        <v>384</v>
      </c>
    </row>
    <row r="267" spans="1:7">
      <c r="A267" s="32" t="s">
        <v>824</v>
      </c>
      <c r="B267" s="35">
        <v>5000</v>
      </c>
      <c r="C267" s="58" t="e">
        <f>(B267-#REF!-#REF!-#REF!-#REF!-#REF!)</f>
        <v>#REF!</v>
      </c>
      <c r="D267" s="32" t="s">
        <v>386</v>
      </c>
      <c r="E267" s="32" t="s">
        <v>825</v>
      </c>
      <c r="F267" s="49">
        <v>0.04</v>
      </c>
      <c r="G267" s="43">
        <v>200</v>
      </c>
    </row>
    <row r="268" spans="1:7">
      <c r="A268" s="32" t="s">
        <v>826</v>
      </c>
      <c r="B268" s="35">
        <v>300</v>
      </c>
      <c r="C268" s="58" t="e">
        <f>(B268-#REF!-#REF!-#REF!-#REF!-#REF!)</f>
        <v>#REF!</v>
      </c>
      <c r="D268" s="32" t="s">
        <v>388</v>
      </c>
      <c r="E268" s="32" t="s">
        <v>827</v>
      </c>
      <c r="F268" s="49">
        <v>5.5</v>
      </c>
      <c r="G268" s="43">
        <v>1650</v>
      </c>
    </row>
    <row r="269" spans="1:7">
      <c r="A269" s="32" t="s">
        <v>828</v>
      </c>
      <c r="B269" s="35">
        <v>1000</v>
      </c>
      <c r="C269" s="58" t="e">
        <f>(B269-#REF!-#REF!-#REF!-#REF!-#REF!)</f>
        <v>#REF!</v>
      </c>
      <c r="D269" s="32" t="s">
        <v>386</v>
      </c>
      <c r="E269" s="32" t="s">
        <v>829</v>
      </c>
      <c r="F269" s="49">
        <v>0.09</v>
      </c>
      <c r="G269" s="43">
        <v>90</v>
      </c>
    </row>
    <row r="270" spans="1:7">
      <c r="A270" s="32" t="s">
        <v>830</v>
      </c>
      <c r="B270" s="35">
        <v>10000</v>
      </c>
      <c r="C270" s="58" t="e">
        <f>(B270-#REF!-#REF!-#REF!-#REF!-#REF!)</f>
        <v>#REF!</v>
      </c>
      <c r="D270" s="32" t="s">
        <v>386</v>
      </c>
      <c r="E270" s="32" t="s">
        <v>831</v>
      </c>
      <c r="F270" s="49">
        <v>0.35</v>
      </c>
      <c r="G270" s="43">
        <v>3500</v>
      </c>
    </row>
    <row r="271" spans="1:7">
      <c r="A271" s="32" t="s">
        <v>832</v>
      </c>
      <c r="B271" s="35">
        <v>80</v>
      </c>
      <c r="C271" s="58" t="e">
        <f>(B271-#REF!-#REF!-#REF!-#REF!-#REF!)</f>
        <v>#REF!</v>
      </c>
      <c r="D271" s="32" t="s">
        <v>388</v>
      </c>
      <c r="E271" s="32" t="s">
        <v>833</v>
      </c>
      <c r="F271" s="49">
        <v>8.4600000000000009</v>
      </c>
      <c r="G271" s="43">
        <v>676.8</v>
      </c>
    </row>
    <row r="272" spans="1:7">
      <c r="A272" s="32" t="s">
        <v>834</v>
      </c>
      <c r="B272" s="35">
        <v>5000</v>
      </c>
      <c r="C272" s="58" t="e">
        <f>(B272-#REF!-#REF!-#REF!-#REF!-#REF!)</f>
        <v>#REF!</v>
      </c>
      <c r="D272" s="32" t="s">
        <v>386</v>
      </c>
      <c r="E272" s="32" t="s">
        <v>835</v>
      </c>
      <c r="F272" s="49">
        <v>0.05</v>
      </c>
      <c r="G272" s="43">
        <v>250</v>
      </c>
    </row>
    <row r="273" spans="1:7">
      <c r="A273" s="32" t="s">
        <v>836</v>
      </c>
      <c r="B273" s="35">
        <v>2000</v>
      </c>
      <c r="C273" s="58" t="e">
        <f>(B273-#REF!-#REF!-#REF!-#REF!-#REF!)</f>
        <v>#REF!</v>
      </c>
      <c r="D273" s="32" t="s">
        <v>386</v>
      </c>
      <c r="E273" s="32" t="s">
        <v>837</v>
      </c>
      <c r="F273" s="49">
        <v>7.0000000000000007E-2</v>
      </c>
      <c r="G273" s="43">
        <v>140</v>
      </c>
    </row>
    <row r="274" spans="1:7">
      <c r="A274" s="32" t="s">
        <v>838</v>
      </c>
      <c r="B274" s="35">
        <v>100</v>
      </c>
      <c r="C274" s="58" t="e">
        <f>(B274-#REF!-#REF!-#REF!-#REF!-#REF!)</f>
        <v>#REF!</v>
      </c>
      <c r="D274" s="32" t="s">
        <v>388</v>
      </c>
      <c r="E274" s="32" t="s">
        <v>839</v>
      </c>
      <c r="F274" s="49">
        <v>7.3</v>
      </c>
      <c r="G274" s="43">
        <v>730</v>
      </c>
    </row>
    <row r="275" spans="1:7">
      <c r="A275" s="32" t="s">
        <v>840</v>
      </c>
      <c r="B275" s="35">
        <v>3000</v>
      </c>
      <c r="C275" s="58" t="e">
        <f>(B275-#REF!-#REF!-#REF!-#REF!-#REF!)</f>
        <v>#REF!</v>
      </c>
      <c r="D275" s="32" t="s">
        <v>386</v>
      </c>
      <c r="E275" s="32" t="s">
        <v>841</v>
      </c>
      <c r="F275" s="49">
        <v>0.49</v>
      </c>
      <c r="G275" s="43">
        <v>1470</v>
      </c>
    </row>
    <row r="276" spans="1:7">
      <c r="A276" s="32" t="s">
        <v>842</v>
      </c>
      <c r="B276" s="35">
        <v>100</v>
      </c>
      <c r="C276" s="58" t="e">
        <f>(B276-#REF!-#REF!-#REF!-#REF!-#REF!)</f>
        <v>#REF!</v>
      </c>
      <c r="D276" s="32" t="s">
        <v>388</v>
      </c>
      <c r="E276" s="32" t="s">
        <v>843</v>
      </c>
      <c r="F276" s="49">
        <v>12.9</v>
      </c>
      <c r="G276" s="43">
        <v>1290</v>
      </c>
    </row>
    <row r="277" spans="1:7">
      <c r="A277" s="32" t="s">
        <v>844</v>
      </c>
      <c r="B277" s="35">
        <v>50</v>
      </c>
      <c r="C277" s="58" t="e">
        <f>(B277-#REF!-#REF!-#REF!-#REF!-#REF!)</f>
        <v>#REF!</v>
      </c>
      <c r="D277" s="32" t="s">
        <v>410</v>
      </c>
      <c r="E277" s="32" t="s">
        <v>845</v>
      </c>
      <c r="F277" s="49">
        <v>4.24</v>
      </c>
      <c r="G277" s="43">
        <v>212</v>
      </c>
    </row>
    <row r="278" spans="1:7">
      <c r="A278" s="32" t="s">
        <v>846</v>
      </c>
      <c r="B278" s="35">
        <v>200</v>
      </c>
      <c r="C278" s="58" t="e">
        <f>(B278-#REF!-#REF!-#REF!-#REF!-#REF!)</f>
        <v>#REF!</v>
      </c>
      <c r="D278" s="32" t="s">
        <v>615</v>
      </c>
      <c r="E278" s="32" t="s">
        <v>847</v>
      </c>
      <c r="F278" s="49">
        <v>0.39</v>
      </c>
      <c r="G278" s="43">
        <v>78</v>
      </c>
    </row>
    <row r="279" spans="1:7">
      <c r="A279" s="32" t="s">
        <v>848</v>
      </c>
      <c r="B279" s="35">
        <v>100</v>
      </c>
      <c r="C279" s="58" t="e">
        <f>(B279-#REF!-#REF!-#REF!-#REF!-#REF!)</f>
        <v>#REF!</v>
      </c>
      <c r="D279" s="32" t="s">
        <v>410</v>
      </c>
      <c r="E279" s="32" t="s">
        <v>849</v>
      </c>
      <c r="F279" s="49">
        <v>0.82</v>
      </c>
      <c r="G279" s="43">
        <v>82</v>
      </c>
    </row>
    <row r="280" spans="1:7">
      <c r="A280" s="32" t="s">
        <v>850</v>
      </c>
      <c r="B280" s="35">
        <v>200</v>
      </c>
      <c r="C280" s="58" t="e">
        <f>(B280-#REF!-#REF!-#REF!-#REF!-#REF!)</f>
        <v>#REF!</v>
      </c>
      <c r="D280" s="32" t="s">
        <v>410</v>
      </c>
      <c r="E280" s="32" t="s">
        <v>851</v>
      </c>
      <c r="F280" s="49">
        <v>0.92779999999999996</v>
      </c>
      <c r="G280" s="43">
        <v>185.56</v>
      </c>
    </row>
    <row r="281" spans="1:7">
      <c r="A281" s="32" t="s">
        <v>852</v>
      </c>
      <c r="B281" s="35">
        <v>200</v>
      </c>
      <c r="C281" s="58" t="e">
        <f>(B281-#REF!-#REF!-#REF!-#REF!-#REF!)</f>
        <v>#REF!</v>
      </c>
      <c r="D281" s="32" t="s">
        <v>651</v>
      </c>
      <c r="E281" s="32" t="s">
        <v>853</v>
      </c>
      <c r="F281" s="49">
        <v>2.2000000000000002</v>
      </c>
      <c r="G281" s="43">
        <v>440</v>
      </c>
    </row>
    <row r="282" spans="1:7">
      <c r="A282" s="32" t="s">
        <v>854</v>
      </c>
      <c r="B282" s="35">
        <v>100</v>
      </c>
      <c r="C282" s="58" t="e">
        <f>(B282-#REF!-#REF!-#REF!-#REF!-#REF!)</f>
        <v>#REF!</v>
      </c>
      <c r="D282" s="32" t="s">
        <v>651</v>
      </c>
      <c r="E282" s="32" t="s">
        <v>855</v>
      </c>
      <c r="F282" s="49">
        <v>2.96</v>
      </c>
      <c r="G282" s="43">
        <v>296</v>
      </c>
    </row>
    <row r="283" spans="1:7">
      <c r="A283" s="30" t="s">
        <v>414</v>
      </c>
      <c r="B283" s="39"/>
      <c r="C283" s="58"/>
      <c r="D283" s="33"/>
      <c r="E283" s="33"/>
      <c r="F283" s="53"/>
      <c r="G283" s="44">
        <v>11290.36</v>
      </c>
    </row>
    <row r="284" spans="1:7">
      <c r="A284" s="28"/>
      <c r="C284" s="58"/>
      <c r="D284" s="28"/>
      <c r="E284" s="28"/>
      <c r="F284" s="51"/>
      <c r="G284" s="45"/>
    </row>
    <row r="285" spans="1:7">
      <c r="A285" s="34" t="s">
        <v>377</v>
      </c>
      <c r="B285" s="27" t="s">
        <v>869</v>
      </c>
      <c r="C285" s="58"/>
      <c r="D285" s="29"/>
      <c r="E285" s="29"/>
      <c r="F285" s="29"/>
      <c r="G285" s="29"/>
    </row>
    <row r="286" spans="1:7">
      <c r="A286" s="30" t="s">
        <v>379</v>
      </c>
      <c r="B286" s="31" t="s">
        <v>380</v>
      </c>
      <c r="C286" s="58"/>
      <c r="D286" s="30" t="s">
        <v>381</v>
      </c>
      <c r="E286" s="30" t="s">
        <v>382</v>
      </c>
      <c r="F286" s="48" t="s">
        <v>383</v>
      </c>
      <c r="G286" s="42" t="s">
        <v>384</v>
      </c>
    </row>
    <row r="287" spans="1:7">
      <c r="A287" s="32" t="s">
        <v>856</v>
      </c>
      <c r="B287" s="35">
        <v>200</v>
      </c>
      <c r="C287" s="58" t="e">
        <f>(B287-#REF!-#REF!-#REF!-#REF!-#REF!)</f>
        <v>#REF!</v>
      </c>
      <c r="D287" s="32" t="s">
        <v>410</v>
      </c>
      <c r="E287" s="32" t="s">
        <v>857</v>
      </c>
      <c r="F287" s="49">
        <v>0.5</v>
      </c>
      <c r="G287" s="43">
        <v>100</v>
      </c>
    </row>
    <row r="288" spans="1:7">
      <c r="A288" s="32" t="s">
        <v>858</v>
      </c>
      <c r="B288" s="35">
        <v>200</v>
      </c>
      <c r="C288" s="58" t="e">
        <f>(B288-#REF!-#REF!-#REF!-#REF!-#REF!)</f>
        <v>#REF!</v>
      </c>
      <c r="D288" s="32" t="s">
        <v>410</v>
      </c>
      <c r="E288" s="32" t="s">
        <v>859</v>
      </c>
      <c r="F288" s="49">
        <v>1.4</v>
      </c>
      <c r="G288" s="43">
        <v>280</v>
      </c>
    </row>
    <row r="289" spans="1:7">
      <c r="A289" s="30" t="s">
        <v>414</v>
      </c>
      <c r="B289" s="39"/>
      <c r="C289" s="59"/>
      <c r="D289" s="33"/>
      <c r="E289" s="33"/>
      <c r="F289" s="53"/>
      <c r="G289" s="44">
        <v>380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CISAMAPI 26</vt:lpstr>
      <vt:lpstr>Sigaf MED I</vt:lpstr>
      <vt:lpstr>Sigaf MED IV</vt:lpstr>
      <vt:lpstr>Prefeitura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Tiago Ferreira Leal</cp:lastModifiedBy>
  <cp:lastPrinted>2026-01-14T11:56:37Z</cp:lastPrinted>
  <dcterms:created xsi:type="dcterms:W3CDTF">2025-12-10T10:37:22Z</dcterms:created>
  <dcterms:modified xsi:type="dcterms:W3CDTF">2026-09-09T17:31:33Z</dcterms:modified>
</cp:coreProperties>
</file>